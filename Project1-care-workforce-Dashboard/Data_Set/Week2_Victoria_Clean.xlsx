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psch-my.sharepoint.com/personal/22johna_tpsch_co_uk/Documents/Desktop/"/>
    </mc:Choice>
  </mc:AlternateContent>
  <xr:revisionPtr revIDLastSave="1" documentId="8_{774C07C5-8304-43BF-B8FA-7E61B2C1DF7F}" xr6:coauthVersionLast="47" xr6:coauthVersionMax="47" xr10:uidLastSave="{9F37DCE5-7D9B-4017-A726-64554667AA0E}"/>
  <bookViews>
    <workbookView xWindow="-110" yWindow="-110" windowWidth="19420" windowHeight="10300" xr2:uid="{00000000-000D-0000-FFFF-FFFF00000000}"/>
  </bookViews>
  <sheets>
    <sheet name="Ra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WEEmblVR2r6SeVeeS24xsHKjV4JNv65ixf6LVI2apc="/>
    </ext>
  </extLst>
</workbook>
</file>

<file path=xl/calcChain.xml><?xml version="1.0" encoding="utf-8"?>
<calcChain xmlns="http://schemas.openxmlformats.org/spreadsheetml/2006/main">
  <c r="T3" i="1" l="1"/>
  <c r="T20" i="1"/>
  <c r="T38" i="1"/>
  <c r="T6" i="1"/>
  <c r="T26" i="1"/>
  <c r="T52" i="1"/>
  <c r="T13" i="1"/>
  <c r="T106" i="1"/>
  <c r="T115" i="1"/>
  <c r="T131" i="1"/>
  <c r="T120" i="1"/>
  <c r="T53" i="1"/>
  <c r="T14" i="1"/>
  <c r="T92" i="1"/>
  <c r="T27" i="1"/>
  <c r="T15" i="1"/>
  <c r="T62" i="1"/>
  <c r="T132" i="1"/>
  <c r="T78" i="1"/>
  <c r="T63" i="1"/>
  <c r="T74" i="1"/>
  <c r="T54" i="1"/>
  <c r="T10" i="1"/>
  <c r="T79" i="1"/>
  <c r="T96" i="1"/>
  <c r="T28" i="1"/>
  <c r="T116" i="1"/>
  <c r="T133" i="1"/>
  <c r="T16" i="1"/>
  <c r="T107" i="1"/>
  <c r="T64" i="1"/>
  <c r="T17" i="1"/>
  <c r="T134" i="1"/>
  <c r="T25" i="1"/>
  <c r="T121" i="1"/>
  <c r="T80" i="1"/>
  <c r="T29" i="1"/>
  <c r="T93" i="1"/>
  <c r="T71" i="1"/>
  <c r="T21" i="1"/>
  <c r="T91" i="1"/>
  <c r="T122" i="1"/>
  <c r="T81" i="1"/>
  <c r="T123" i="1"/>
  <c r="T135" i="1"/>
  <c r="T117" i="1"/>
  <c r="T102" i="1"/>
  <c r="T124" i="1"/>
  <c r="T7" i="1"/>
  <c r="T82" i="1"/>
  <c r="T83" i="1"/>
  <c r="T108" i="1"/>
  <c r="T75" i="1"/>
  <c r="T76" i="1"/>
  <c r="T30" i="1"/>
  <c r="T43" i="1"/>
  <c r="T136" i="1"/>
  <c r="T55" i="1"/>
  <c r="T94" i="1"/>
  <c r="T11" i="1"/>
  <c r="T31" i="1"/>
  <c r="T65" i="1"/>
  <c r="T18" i="1"/>
  <c r="T32" i="1"/>
  <c r="T109" i="1"/>
  <c r="T103" i="1"/>
  <c r="T72" i="1"/>
  <c r="T118" i="1"/>
  <c r="T44" i="1"/>
  <c r="T56" i="1"/>
  <c r="T77" i="1"/>
  <c r="T57" i="1"/>
  <c r="T33" i="1"/>
  <c r="T39" i="1"/>
  <c r="T34" i="1"/>
  <c r="T110" i="1"/>
  <c r="T125" i="1"/>
  <c r="T84" i="1"/>
  <c r="T111" i="1"/>
  <c r="T126" i="1"/>
  <c r="T137" i="1"/>
  <c r="T8" i="1"/>
  <c r="T112" i="1"/>
  <c r="T119" i="1"/>
  <c r="T127" i="1"/>
  <c r="T45" i="1"/>
  <c r="T61" i="1"/>
  <c r="T85" i="1"/>
  <c r="T12" i="1"/>
  <c r="T58" i="1"/>
  <c r="T138" i="1"/>
  <c r="T113" i="1"/>
  <c r="T97" i="1"/>
  <c r="T66" i="1"/>
  <c r="T46" i="1"/>
  <c r="T4" i="1"/>
  <c r="T95" i="1"/>
  <c r="T67" i="1"/>
  <c r="T98" i="1"/>
  <c r="T47" i="1"/>
  <c r="T86" i="1"/>
  <c r="T68" i="1"/>
  <c r="T35" i="1"/>
  <c r="T40" i="1"/>
  <c r="T2" i="1"/>
  <c r="T114" i="1"/>
  <c r="T99" i="1"/>
  <c r="T36" i="1"/>
  <c r="T139" i="1"/>
  <c r="T22" i="1"/>
  <c r="T87" i="1"/>
  <c r="T128" i="1"/>
  <c r="T19" i="1"/>
  <c r="T129" i="1"/>
  <c r="T48" i="1"/>
  <c r="T105" i="1"/>
  <c r="T59" i="1"/>
  <c r="T140" i="1"/>
  <c r="T100" i="1"/>
  <c r="T5" i="1"/>
  <c r="T49" i="1"/>
  <c r="T50" i="1"/>
  <c r="T73" i="1"/>
  <c r="T41" i="1"/>
  <c r="T88" i="1"/>
  <c r="T37" i="1"/>
  <c r="T23" i="1"/>
  <c r="T104" i="1"/>
  <c r="T51" i="1"/>
  <c r="T89" i="1"/>
  <c r="T101" i="1"/>
  <c r="T90" i="1"/>
  <c r="T9" i="1"/>
  <c r="T141" i="1"/>
  <c r="T69" i="1"/>
  <c r="T42" i="1"/>
  <c r="T130" i="1"/>
  <c r="T70" i="1"/>
  <c r="T24" i="1"/>
  <c r="T60" i="1"/>
  <c r="S53" i="1"/>
  <c r="U53" i="1" s="1"/>
  <c r="S3" i="1"/>
  <c r="U3" i="1" s="1"/>
  <c r="S20" i="1"/>
  <c r="U20" i="1" s="1"/>
  <c r="S38" i="1"/>
  <c r="U38" i="1" s="1"/>
  <c r="S6" i="1"/>
  <c r="U6" i="1" s="1"/>
  <c r="S26" i="1"/>
  <c r="U26" i="1" s="1"/>
  <c r="S52" i="1"/>
  <c r="U52" i="1" s="1"/>
  <c r="S13" i="1"/>
  <c r="U13" i="1" s="1"/>
  <c r="S106" i="1"/>
  <c r="U106" i="1" s="1"/>
  <c r="S115" i="1"/>
  <c r="U115" i="1" s="1"/>
  <c r="S131" i="1"/>
  <c r="U131" i="1" s="1"/>
  <c r="S120" i="1"/>
  <c r="U120" i="1" s="1"/>
  <c r="S14" i="1"/>
  <c r="U14" i="1" s="1"/>
  <c r="S92" i="1"/>
  <c r="U92" i="1" s="1"/>
  <c r="S27" i="1"/>
  <c r="U27" i="1" s="1"/>
  <c r="S15" i="1"/>
  <c r="U15" i="1" s="1"/>
  <c r="S62" i="1"/>
  <c r="U62" i="1" s="1"/>
  <c r="S132" i="1"/>
  <c r="U132" i="1" s="1"/>
  <c r="S78" i="1"/>
  <c r="U78" i="1" s="1"/>
  <c r="S63" i="1"/>
  <c r="U63" i="1" s="1"/>
  <c r="S74" i="1"/>
  <c r="U74" i="1" s="1"/>
  <c r="S54" i="1"/>
  <c r="U54" i="1" s="1"/>
  <c r="S10" i="1"/>
  <c r="U10" i="1" s="1"/>
  <c r="S79" i="1"/>
  <c r="U79" i="1" s="1"/>
  <c r="S96" i="1"/>
  <c r="U96" i="1" s="1"/>
  <c r="S28" i="1"/>
  <c r="U28" i="1" s="1"/>
  <c r="S116" i="1"/>
  <c r="U116" i="1" s="1"/>
  <c r="S133" i="1"/>
  <c r="U133" i="1" s="1"/>
  <c r="S16" i="1"/>
  <c r="U16" i="1" s="1"/>
  <c r="S107" i="1"/>
  <c r="U107" i="1" s="1"/>
  <c r="S64" i="1"/>
  <c r="U64" i="1" s="1"/>
  <c r="S17" i="1"/>
  <c r="U17" i="1" s="1"/>
  <c r="S134" i="1"/>
  <c r="U134" i="1" s="1"/>
  <c r="S25" i="1"/>
  <c r="U25" i="1" s="1"/>
  <c r="S121" i="1"/>
  <c r="U121" i="1" s="1"/>
  <c r="S80" i="1"/>
  <c r="U80" i="1" s="1"/>
  <c r="S29" i="1"/>
  <c r="U29" i="1" s="1"/>
  <c r="S93" i="1"/>
  <c r="U93" i="1" s="1"/>
  <c r="S71" i="1"/>
  <c r="U71" i="1" s="1"/>
  <c r="S21" i="1"/>
  <c r="U21" i="1" s="1"/>
  <c r="S91" i="1"/>
  <c r="U91" i="1" s="1"/>
  <c r="S122" i="1"/>
  <c r="U122" i="1" s="1"/>
  <c r="S81" i="1"/>
  <c r="U81" i="1" s="1"/>
  <c r="S123" i="1"/>
  <c r="U123" i="1" s="1"/>
  <c r="S135" i="1"/>
  <c r="U135" i="1" s="1"/>
  <c r="S117" i="1"/>
  <c r="U117" i="1" s="1"/>
  <c r="S102" i="1"/>
  <c r="U102" i="1" s="1"/>
  <c r="S124" i="1"/>
  <c r="U124" i="1" s="1"/>
  <c r="S7" i="1"/>
  <c r="U7" i="1" s="1"/>
  <c r="S82" i="1"/>
  <c r="U82" i="1" s="1"/>
  <c r="S83" i="1"/>
  <c r="U83" i="1" s="1"/>
  <c r="S108" i="1"/>
  <c r="U108" i="1" s="1"/>
  <c r="S75" i="1"/>
  <c r="U75" i="1" s="1"/>
  <c r="S76" i="1"/>
  <c r="U76" i="1" s="1"/>
  <c r="S30" i="1"/>
  <c r="U30" i="1" s="1"/>
  <c r="S43" i="1"/>
  <c r="U43" i="1" s="1"/>
  <c r="S136" i="1"/>
  <c r="U136" i="1" s="1"/>
  <c r="S55" i="1"/>
  <c r="U55" i="1" s="1"/>
  <c r="S94" i="1"/>
  <c r="U94" i="1" s="1"/>
  <c r="S11" i="1"/>
  <c r="U11" i="1" s="1"/>
  <c r="S31" i="1"/>
  <c r="U31" i="1" s="1"/>
  <c r="S65" i="1"/>
  <c r="U65" i="1" s="1"/>
  <c r="S18" i="1"/>
  <c r="U18" i="1" s="1"/>
  <c r="S32" i="1"/>
  <c r="U32" i="1" s="1"/>
  <c r="S109" i="1"/>
  <c r="U109" i="1" s="1"/>
  <c r="S103" i="1"/>
  <c r="U103" i="1" s="1"/>
  <c r="S72" i="1"/>
  <c r="U72" i="1" s="1"/>
  <c r="S118" i="1"/>
  <c r="U118" i="1" s="1"/>
  <c r="S44" i="1"/>
  <c r="U44" i="1" s="1"/>
  <c r="S56" i="1"/>
  <c r="U56" i="1" s="1"/>
  <c r="S77" i="1"/>
  <c r="U77" i="1" s="1"/>
  <c r="S57" i="1"/>
  <c r="U57" i="1" s="1"/>
  <c r="S33" i="1"/>
  <c r="U33" i="1" s="1"/>
  <c r="S39" i="1"/>
  <c r="U39" i="1" s="1"/>
  <c r="S34" i="1"/>
  <c r="U34" i="1" s="1"/>
  <c r="S110" i="1"/>
  <c r="U110" i="1" s="1"/>
  <c r="S125" i="1"/>
  <c r="U125" i="1" s="1"/>
  <c r="S84" i="1"/>
  <c r="U84" i="1" s="1"/>
  <c r="S111" i="1"/>
  <c r="U111" i="1" s="1"/>
  <c r="S126" i="1"/>
  <c r="U126" i="1" s="1"/>
  <c r="S137" i="1"/>
  <c r="U137" i="1" s="1"/>
  <c r="S8" i="1"/>
  <c r="U8" i="1" s="1"/>
  <c r="S112" i="1"/>
  <c r="U112" i="1" s="1"/>
  <c r="S119" i="1"/>
  <c r="U119" i="1" s="1"/>
  <c r="S127" i="1"/>
  <c r="U127" i="1" s="1"/>
  <c r="S45" i="1"/>
  <c r="U45" i="1" s="1"/>
  <c r="S61" i="1"/>
  <c r="U61" i="1" s="1"/>
  <c r="S85" i="1"/>
  <c r="U85" i="1" s="1"/>
  <c r="S12" i="1"/>
  <c r="U12" i="1" s="1"/>
  <c r="S58" i="1"/>
  <c r="U58" i="1" s="1"/>
  <c r="S138" i="1"/>
  <c r="U138" i="1" s="1"/>
  <c r="S113" i="1"/>
  <c r="U113" i="1" s="1"/>
  <c r="S97" i="1"/>
  <c r="U97" i="1" s="1"/>
  <c r="S66" i="1"/>
  <c r="U66" i="1" s="1"/>
  <c r="S46" i="1"/>
  <c r="U46" i="1" s="1"/>
  <c r="S4" i="1"/>
  <c r="U4" i="1" s="1"/>
  <c r="S95" i="1"/>
  <c r="U95" i="1" s="1"/>
  <c r="S67" i="1"/>
  <c r="U67" i="1" s="1"/>
  <c r="S98" i="1"/>
  <c r="U98" i="1" s="1"/>
  <c r="S47" i="1"/>
  <c r="U47" i="1" s="1"/>
  <c r="S86" i="1"/>
  <c r="U86" i="1" s="1"/>
  <c r="S68" i="1"/>
  <c r="U68" i="1" s="1"/>
  <c r="S35" i="1"/>
  <c r="U35" i="1" s="1"/>
  <c r="S40" i="1"/>
  <c r="U40" i="1" s="1"/>
  <c r="S2" i="1"/>
  <c r="U2" i="1" s="1"/>
  <c r="S114" i="1"/>
  <c r="U114" i="1" s="1"/>
  <c r="S99" i="1"/>
  <c r="U99" i="1" s="1"/>
  <c r="S36" i="1"/>
  <c r="U36" i="1" s="1"/>
  <c r="S139" i="1"/>
  <c r="U139" i="1" s="1"/>
  <c r="S22" i="1"/>
  <c r="U22" i="1" s="1"/>
  <c r="S87" i="1"/>
  <c r="U87" i="1" s="1"/>
  <c r="S128" i="1"/>
  <c r="U128" i="1" s="1"/>
  <c r="S19" i="1"/>
  <c r="U19" i="1" s="1"/>
  <c r="S129" i="1"/>
  <c r="U129" i="1" s="1"/>
  <c r="S48" i="1"/>
  <c r="U48" i="1" s="1"/>
  <c r="S105" i="1"/>
  <c r="U105" i="1" s="1"/>
  <c r="S59" i="1"/>
  <c r="U59" i="1" s="1"/>
  <c r="S140" i="1"/>
  <c r="U140" i="1" s="1"/>
  <c r="S100" i="1"/>
  <c r="U100" i="1" s="1"/>
  <c r="S5" i="1"/>
  <c r="U5" i="1" s="1"/>
  <c r="S49" i="1"/>
  <c r="U49" i="1" s="1"/>
  <c r="S50" i="1"/>
  <c r="U50" i="1" s="1"/>
  <c r="S73" i="1"/>
  <c r="U73" i="1" s="1"/>
  <c r="S41" i="1"/>
  <c r="U41" i="1" s="1"/>
  <c r="S88" i="1"/>
  <c r="U88" i="1" s="1"/>
  <c r="S37" i="1"/>
  <c r="U37" i="1" s="1"/>
  <c r="S23" i="1"/>
  <c r="U23" i="1" s="1"/>
  <c r="S104" i="1"/>
  <c r="U104" i="1" s="1"/>
  <c r="S51" i="1"/>
  <c r="U51" i="1" s="1"/>
  <c r="S89" i="1"/>
  <c r="U89" i="1" s="1"/>
  <c r="S101" i="1"/>
  <c r="U101" i="1" s="1"/>
  <c r="S90" i="1"/>
  <c r="U90" i="1" s="1"/>
  <c r="S9" i="1"/>
  <c r="U9" i="1" s="1"/>
  <c r="S141" i="1"/>
  <c r="U141" i="1" s="1"/>
  <c r="S69" i="1"/>
  <c r="U69" i="1" s="1"/>
  <c r="S42" i="1"/>
  <c r="U42" i="1" s="1"/>
  <c r="S130" i="1"/>
  <c r="U130" i="1" s="1"/>
  <c r="S70" i="1"/>
  <c r="U70" i="1" s="1"/>
  <c r="S24" i="1"/>
  <c r="U24" i="1" s="1"/>
  <c r="S60" i="1"/>
  <c r="U60" i="1" s="1"/>
  <c r="R3" i="1"/>
  <c r="R20" i="1"/>
  <c r="R38" i="1"/>
  <c r="R6" i="1"/>
  <c r="R26" i="1"/>
  <c r="R52" i="1"/>
  <c r="R13" i="1"/>
  <c r="R106" i="1"/>
  <c r="R115" i="1"/>
  <c r="R131" i="1"/>
  <c r="R120" i="1"/>
  <c r="R53" i="1"/>
  <c r="R14" i="1"/>
  <c r="R92" i="1"/>
  <c r="R27" i="1"/>
  <c r="R15" i="1"/>
  <c r="R62" i="1"/>
  <c r="R132" i="1"/>
  <c r="R78" i="1"/>
  <c r="R63" i="1"/>
  <c r="R74" i="1"/>
  <c r="R54" i="1"/>
  <c r="R10" i="1"/>
  <c r="R79" i="1"/>
  <c r="R96" i="1"/>
  <c r="R28" i="1"/>
  <c r="R116" i="1"/>
  <c r="R133" i="1"/>
  <c r="R16" i="1"/>
  <c r="R107" i="1"/>
  <c r="R64" i="1"/>
  <c r="R17" i="1"/>
  <c r="R134" i="1"/>
  <c r="R25" i="1"/>
  <c r="R121" i="1"/>
  <c r="R80" i="1"/>
  <c r="R29" i="1"/>
  <c r="R93" i="1"/>
  <c r="R71" i="1"/>
  <c r="R21" i="1"/>
  <c r="R91" i="1"/>
  <c r="R122" i="1"/>
  <c r="R81" i="1"/>
  <c r="R123" i="1"/>
  <c r="R135" i="1"/>
  <c r="R117" i="1"/>
  <c r="R102" i="1"/>
  <c r="R124" i="1"/>
  <c r="R7" i="1"/>
  <c r="R82" i="1"/>
  <c r="R83" i="1"/>
  <c r="R108" i="1"/>
  <c r="R75" i="1"/>
  <c r="R76" i="1"/>
  <c r="R30" i="1"/>
  <c r="R43" i="1"/>
  <c r="R136" i="1"/>
  <c r="R55" i="1"/>
  <c r="R94" i="1"/>
  <c r="R11" i="1"/>
  <c r="R31" i="1"/>
  <c r="R65" i="1"/>
  <c r="R18" i="1"/>
  <c r="R32" i="1"/>
  <c r="R109" i="1"/>
  <c r="R103" i="1"/>
  <c r="R72" i="1"/>
  <c r="R118" i="1"/>
  <c r="R44" i="1"/>
  <c r="R56" i="1"/>
  <c r="R77" i="1"/>
  <c r="R57" i="1"/>
  <c r="R33" i="1"/>
  <c r="R39" i="1"/>
  <c r="R34" i="1"/>
  <c r="R110" i="1"/>
  <c r="R125" i="1"/>
  <c r="R84" i="1"/>
  <c r="R111" i="1"/>
  <c r="R126" i="1"/>
  <c r="R137" i="1"/>
  <c r="R8" i="1"/>
  <c r="R112" i="1"/>
  <c r="R119" i="1"/>
  <c r="R127" i="1"/>
  <c r="R45" i="1"/>
  <c r="R61" i="1"/>
  <c r="R85" i="1"/>
  <c r="R12" i="1"/>
  <c r="R58" i="1"/>
  <c r="R138" i="1"/>
  <c r="R113" i="1"/>
  <c r="R97" i="1"/>
  <c r="R66" i="1"/>
  <c r="R46" i="1"/>
  <c r="R4" i="1"/>
  <c r="R95" i="1"/>
  <c r="R67" i="1"/>
  <c r="R98" i="1"/>
  <c r="R47" i="1"/>
  <c r="R86" i="1"/>
  <c r="R68" i="1"/>
  <c r="R35" i="1"/>
  <c r="R40" i="1"/>
  <c r="R2" i="1"/>
  <c r="R114" i="1"/>
  <c r="R99" i="1"/>
  <c r="R36" i="1"/>
  <c r="R139" i="1"/>
  <c r="R22" i="1"/>
  <c r="R87" i="1"/>
  <c r="R128" i="1"/>
  <c r="R19" i="1"/>
  <c r="R129" i="1"/>
  <c r="R48" i="1"/>
  <c r="R105" i="1"/>
  <c r="R59" i="1"/>
  <c r="R140" i="1"/>
  <c r="R100" i="1"/>
  <c r="R5" i="1"/>
  <c r="R49" i="1"/>
  <c r="R50" i="1"/>
  <c r="R73" i="1"/>
  <c r="R41" i="1"/>
  <c r="R88" i="1"/>
  <c r="R37" i="1"/>
  <c r="R23" i="1"/>
  <c r="R104" i="1"/>
  <c r="R51" i="1"/>
  <c r="R89" i="1"/>
  <c r="R101" i="1"/>
  <c r="R90" i="1"/>
  <c r="R9" i="1"/>
  <c r="R141" i="1"/>
  <c r="R69" i="1"/>
  <c r="R42" i="1"/>
  <c r="R130" i="1"/>
  <c r="R70" i="1"/>
  <c r="R24" i="1"/>
  <c r="R60" i="1"/>
  <c r="Q3" i="1"/>
  <c r="Q20" i="1"/>
  <c r="Q38" i="1"/>
  <c r="Q6" i="1"/>
  <c r="Q26" i="1"/>
  <c r="Q52" i="1"/>
  <c r="Q13" i="1"/>
  <c r="Q106" i="1"/>
  <c r="Q115" i="1"/>
  <c r="Q131" i="1"/>
  <c r="Q120" i="1"/>
  <c r="Q53" i="1"/>
  <c r="Q14" i="1"/>
  <c r="Q92" i="1"/>
  <c r="Q27" i="1"/>
  <c r="Q15" i="1"/>
  <c r="Q62" i="1"/>
  <c r="Q132" i="1"/>
  <c r="Q78" i="1"/>
  <c r="Q63" i="1"/>
  <c r="Q74" i="1"/>
  <c r="Q54" i="1"/>
  <c r="Q10" i="1"/>
  <c r="Q79" i="1"/>
  <c r="Q96" i="1"/>
  <c r="Q28" i="1"/>
  <c r="Q116" i="1"/>
  <c r="Q133" i="1"/>
  <c r="Q16" i="1"/>
  <c r="Q107" i="1"/>
  <c r="Q64" i="1"/>
  <c r="Q17" i="1"/>
  <c r="Q134" i="1"/>
  <c r="Q25" i="1"/>
  <c r="Q121" i="1"/>
  <c r="Q80" i="1"/>
  <c r="Q29" i="1"/>
  <c r="Q93" i="1"/>
  <c r="Q71" i="1"/>
  <c r="Q21" i="1"/>
  <c r="Q91" i="1"/>
  <c r="Q122" i="1"/>
  <c r="Q81" i="1"/>
  <c r="Q123" i="1"/>
  <c r="Q135" i="1"/>
  <c r="Q117" i="1"/>
  <c r="Q102" i="1"/>
  <c r="Q124" i="1"/>
  <c r="Q7" i="1"/>
  <c r="Q82" i="1"/>
  <c r="Q83" i="1"/>
  <c r="Q108" i="1"/>
  <c r="Q75" i="1"/>
  <c r="Q76" i="1"/>
  <c r="Q30" i="1"/>
  <c r="Q43" i="1"/>
  <c r="Q136" i="1"/>
  <c r="Q55" i="1"/>
  <c r="Q94" i="1"/>
  <c r="Q11" i="1"/>
  <c r="Q31" i="1"/>
  <c r="Q65" i="1"/>
  <c r="Q18" i="1"/>
  <c r="Q32" i="1"/>
  <c r="Q109" i="1"/>
  <c r="Q103" i="1"/>
  <c r="Q72" i="1"/>
  <c r="Q118" i="1"/>
  <c r="Q44" i="1"/>
  <c r="Q56" i="1"/>
  <c r="Q77" i="1"/>
  <c r="Q57" i="1"/>
  <c r="Q33" i="1"/>
  <c r="Q39" i="1"/>
  <c r="Q34" i="1"/>
  <c r="Q110" i="1"/>
  <c r="Q125" i="1"/>
  <c r="Q84" i="1"/>
  <c r="Q111" i="1"/>
  <c r="Q126" i="1"/>
  <c r="Q137" i="1"/>
  <c r="Q8" i="1"/>
  <c r="Q112" i="1"/>
  <c r="Q119" i="1"/>
  <c r="Q127" i="1"/>
  <c r="Q45" i="1"/>
  <c r="Q61" i="1"/>
  <c r="Q85" i="1"/>
  <c r="Q12" i="1"/>
  <c r="Q58" i="1"/>
  <c r="Q138" i="1"/>
  <c r="Q113" i="1"/>
  <c r="Q97" i="1"/>
  <c r="Q66" i="1"/>
  <c r="Q46" i="1"/>
  <c r="Q4" i="1"/>
  <c r="Q95" i="1"/>
  <c r="Q67" i="1"/>
  <c r="Q98" i="1"/>
  <c r="Q47" i="1"/>
  <c r="Q86" i="1"/>
  <c r="Q68" i="1"/>
  <c r="Q35" i="1"/>
  <c r="Q40" i="1"/>
  <c r="Q2" i="1"/>
  <c r="Q114" i="1"/>
  <c r="Q99" i="1"/>
  <c r="Q36" i="1"/>
  <c r="Q139" i="1"/>
  <c r="Q22" i="1"/>
  <c r="Q87" i="1"/>
  <c r="Q128" i="1"/>
  <c r="Q19" i="1"/>
  <c r="Q129" i="1"/>
  <c r="Q48" i="1"/>
  <c r="Q105" i="1"/>
  <c r="Q59" i="1"/>
  <c r="Q140" i="1"/>
  <c r="Q100" i="1"/>
  <c r="Q5" i="1"/>
  <c r="Q49" i="1"/>
  <c r="Q50" i="1"/>
  <c r="Q73" i="1"/>
  <c r="Q41" i="1"/>
  <c r="Q88" i="1"/>
  <c r="Q37" i="1"/>
  <c r="Q23" i="1"/>
  <c r="Q104" i="1"/>
  <c r="Q51" i="1"/>
  <c r="Q89" i="1"/>
  <c r="Q101" i="1"/>
  <c r="Q90" i="1"/>
  <c r="Q9" i="1"/>
  <c r="Q141" i="1"/>
  <c r="Q69" i="1"/>
  <c r="Q42" i="1"/>
  <c r="Q130" i="1"/>
  <c r="Q70" i="1"/>
  <c r="Q24" i="1"/>
  <c r="Q60" i="1"/>
  <c r="P3" i="1"/>
  <c r="P20" i="1"/>
  <c r="P38" i="1"/>
  <c r="P6" i="1"/>
  <c r="P26" i="1"/>
  <c r="P52" i="1"/>
  <c r="P13" i="1"/>
  <c r="P106" i="1"/>
  <c r="P115" i="1"/>
  <c r="P131" i="1"/>
  <c r="P120" i="1"/>
  <c r="P53" i="1"/>
  <c r="P14" i="1"/>
  <c r="P92" i="1"/>
  <c r="P27" i="1"/>
  <c r="P15" i="1"/>
  <c r="P62" i="1"/>
  <c r="P132" i="1"/>
  <c r="P78" i="1"/>
  <c r="P63" i="1"/>
  <c r="P74" i="1"/>
  <c r="P54" i="1"/>
  <c r="P10" i="1"/>
  <c r="P79" i="1"/>
  <c r="P96" i="1"/>
  <c r="P28" i="1"/>
  <c r="P116" i="1"/>
  <c r="P133" i="1"/>
  <c r="P16" i="1"/>
  <c r="P107" i="1"/>
  <c r="P64" i="1"/>
  <c r="P17" i="1"/>
  <c r="P134" i="1"/>
  <c r="P25" i="1"/>
  <c r="P121" i="1"/>
  <c r="P80" i="1"/>
  <c r="P29" i="1"/>
  <c r="P93" i="1"/>
  <c r="P71" i="1"/>
  <c r="P21" i="1"/>
  <c r="P91" i="1"/>
  <c r="P122" i="1"/>
  <c r="P81" i="1"/>
  <c r="P123" i="1"/>
  <c r="P135" i="1"/>
  <c r="P117" i="1"/>
  <c r="P102" i="1"/>
  <c r="P124" i="1"/>
  <c r="P7" i="1"/>
  <c r="P82" i="1"/>
  <c r="P83" i="1"/>
  <c r="P108" i="1"/>
  <c r="P75" i="1"/>
  <c r="P76" i="1"/>
  <c r="P30" i="1"/>
  <c r="P43" i="1"/>
  <c r="P136" i="1"/>
  <c r="P55" i="1"/>
  <c r="P94" i="1"/>
  <c r="P11" i="1"/>
  <c r="P31" i="1"/>
  <c r="P65" i="1"/>
  <c r="P18" i="1"/>
  <c r="P32" i="1"/>
  <c r="P109" i="1"/>
  <c r="P103" i="1"/>
  <c r="P72" i="1"/>
  <c r="P118" i="1"/>
  <c r="P44" i="1"/>
  <c r="P56" i="1"/>
  <c r="P77" i="1"/>
  <c r="P57" i="1"/>
  <c r="P33" i="1"/>
  <c r="P39" i="1"/>
  <c r="P34" i="1"/>
  <c r="P110" i="1"/>
  <c r="P125" i="1"/>
  <c r="P84" i="1"/>
  <c r="P111" i="1"/>
  <c r="P126" i="1"/>
  <c r="P137" i="1"/>
  <c r="P8" i="1"/>
  <c r="P112" i="1"/>
  <c r="P119" i="1"/>
  <c r="P127" i="1"/>
  <c r="P45" i="1"/>
  <c r="P61" i="1"/>
  <c r="P85" i="1"/>
  <c r="P12" i="1"/>
  <c r="P58" i="1"/>
  <c r="P138" i="1"/>
  <c r="P113" i="1"/>
  <c r="P97" i="1"/>
  <c r="P66" i="1"/>
  <c r="P46" i="1"/>
  <c r="P4" i="1"/>
  <c r="P95" i="1"/>
  <c r="P67" i="1"/>
  <c r="P98" i="1"/>
  <c r="P47" i="1"/>
  <c r="P86" i="1"/>
  <c r="P68" i="1"/>
  <c r="P35" i="1"/>
  <c r="P40" i="1"/>
  <c r="P2" i="1"/>
  <c r="P114" i="1"/>
  <c r="P99" i="1"/>
  <c r="P36" i="1"/>
  <c r="P139" i="1"/>
  <c r="P22" i="1"/>
  <c r="P87" i="1"/>
  <c r="P128" i="1"/>
  <c r="P19" i="1"/>
  <c r="P129" i="1"/>
  <c r="P48" i="1"/>
  <c r="P105" i="1"/>
  <c r="P59" i="1"/>
  <c r="P140" i="1"/>
  <c r="P100" i="1"/>
  <c r="P5" i="1"/>
  <c r="P49" i="1"/>
  <c r="P50" i="1"/>
  <c r="P73" i="1"/>
  <c r="P41" i="1"/>
  <c r="P88" i="1"/>
  <c r="P37" i="1"/>
  <c r="P23" i="1"/>
  <c r="P104" i="1"/>
  <c r="P51" i="1"/>
  <c r="P89" i="1"/>
  <c r="P101" i="1"/>
  <c r="P90" i="1"/>
  <c r="P9" i="1"/>
  <c r="P141" i="1"/>
  <c r="P69" i="1"/>
  <c r="P42" i="1"/>
  <c r="P130" i="1"/>
  <c r="P70" i="1"/>
  <c r="P24" i="1"/>
  <c r="P60" i="1"/>
  <c r="O3" i="1"/>
  <c r="O20" i="1"/>
  <c r="O38" i="1"/>
  <c r="O6" i="1"/>
  <c r="O26" i="1"/>
  <c r="O52" i="1"/>
  <c r="O13" i="1"/>
  <c r="O106" i="1"/>
  <c r="O115" i="1"/>
  <c r="O131" i="1"/>
  <c r="O120" i="1"/>
  <c r="O53" i="1"/>
  <c r="O14" i="1"/>
  <c r="O92" i="1"/>
  <c r="O27" i="1"/>
  <c r="O15" i="1"/>
  <c r="O62" i="1"/>
  <c r="O132" i="1"/>
  <c r="O78" i="1"/>
  <c r="O63" i="1"/>
  <c r="O74" i="1"/>
  <c r="O54" i="1"/>
  <c r="O10" i="1"/>
  <c r="O79" i="1"/>
  <c r="O96" i="1"/>
  <c r="O28" i="1"/>
  <c r="O116" i="1"/>
  <c r="O133" i="1"/>
  <c r="O16" i="1"/>
  <c r="O107" i="1"/>
  <c r="O64" i="1"/>
  <c r="O17" i="1"/>
  <c r="O134" i="1"/>
  <c r="O25" i="1"/>
  <c r="O121" i="1"/>
  <c r="O80" i="1"/>
  <c r="O29" i="1"/>
  <c r="O93" i="1"/>
  <c r="O71" i="1"/>
  <c r="O21" i="1"/>
  <c r="O91" i="1"/>
  <c r="O122" i="1"/>
  <c r="O81" i="1"/>
  <c r="O123" i="1"/>
  <c r="O135" i="1"/>
  <c r="O117" i="1"/>
  <c r="O102" i="1"/>
  <c r="O124" i="1"/>
  <c r="O7" i="1"/>
  <c r="O82" i="1"/>
  <c r="O83" i="1"/>
  <c r="O108" i="1"/>
  <c r="O75" i="1"/>
  <c r="O76" i="1"/>
  <c r="O30" i="1"/>
  <c r="O43" i="1"/>
  <c r="O136" i="1"/>
  <c r="O55" i="1"/>
  <c r="O94" i="1"/>
  <c r="O11" i="1"/>
  <c r="O31" i="1"/>
  <c r="O65" i="1"/>
  <c r="O18" i="1"/>
  <c r="O32" i="1"/>
  <c r="O109" i="1"/>
  <c r="O103" i="1"/>
  <c r="O72" i="1"/>
  <c r="O118" i="1"/>
  <c r="O44" i="1"/>
  <c r="O56" i="1"/>
  <c r="O77" i="1"/>
  <c r="O57" i="1"/>
  <c r="O33" i="1"/>
  <c r="O39" i="1"/>
  <c r="O34" i="1"/>
  <c r="O110" i="1"/>
  <c r="O125" i="1"/>
  <c r="O84" i="1"/>
  <c r="O111" i="1"/>
  <c r="O126" i="1"/>
  <c r="O137" i="1"/>
  <c r="O8" i="1"/>
  <c r="O112" i="1"/>
  <c r="O119" i="1"/>
  <c r="O127" i="1"/>
  <c r="O45" i="1"/>
  <c r="O61" i="1"/>
  <c r="O85" i="1"/>
  <c r="O12" i="1"/>
  <c r="O58" i="1"/>
  <c r="O138" i="1"/>
  <c r="O113" i="1"/>
  <c r="O97" i="1"/>
  <c r="O66" i="1"/>
  <c r="O46" i="1"/>
  <c r="O4" i="1"/>
  <c r="O95" i="1"/>
  <c r="O67" i="1"/>
  <c r="O98" i="1"/>
  <c r="O47" i="1"/>
  <c r="O86" i="1"/>
  <c r="O68" i="1"/>
  <c r="O35" i="1"/>
  <c r="O40" i="1"/>
  <c r="O2" i="1"/>
  <c r="O114" i="1"/>
  <c r="O99" i="1"/>
  <c r="O36" i="1"/>
  <c r="O139" i="1"/>
  <c r="O22" i="1"/>
  <c r="O87" i="1"/>
  <c r="O128" i="1"/>
  <c r="O19" i="1"/>
  <c r="O129" i="1"/>
  <c r="O48" i="1"/>
  <c r="O105" i="1"/>
  <c r="O59" i="1"/>
  <c r="O140" i="1"/>
  <c r="O100" i="1"/>
  <c r="O5" i="1"/>
  <c r="O49" i="1"/>
  <c r="O50" i="1"/>
  <c r="O73" i="1"/>
  <c r="O41" i="1"/>
  <c r="O88" i="1"/>
  <c r="O37" i="1"/>
  <c r="O23" i="1"/>
  <c r="O104" i="1"/>
  <c r="O51" i="1"/>
  <c r="O89" i="1"/>
  <c r="O101" i="1"/>
  <c r="O90" i="1"/>
  <c r="O9" i="1"/>
  <c r="O141" i="1"/>
  <c r="O69" i="1"/>
  <c r="O42" i="1"/>
  <c r="O130" i="1"/>
  <c r="O70" i="1"/>
  <c r="O24" i="1"/>
  <c r="O60" i="1"/>
  <c r="N3" i="1"/>
  <c r="N20" i="1"/>
  <c r="N38" i="1"/>
  <c r="N6" i="1"/>
  <c r="N26" i="1"/>
  <c r="N52" i="1"/>
  <c r="N13" i="1"/>
  <c r="N106" i="1"/>
  <c r="N115" i="1"/>
  <c r="N131" i="1"/>
  <c r="N120" i="1"/>
  <c r="N53" i="1"/>
  <c r="N14" i="1"/>
  <c r="N92" i="1"/>
  <c r="N27" i="1"/>
  <c r="N15" i="1"/>
  <c r="N62" i="1"/>
  <c r="N132" i="1"/>
  <c r="N78" i="1"/>
  <c r="N63" i="1"/>
  <c r="N74" i="1"/>
  <c r="N54" i="1"/>
  <c r="N10" i="1"/>
  <c r="N79" i="1"/>
  <c r="N96" i="1"/>
  <c r="N28" i="1"/>
  <c r="N116" i="1"/>
  <c r="N133" i="1"/>
  <c r="N16" i="1"/>
  <c r="N107" i="1"/>
  <c r="N64" i="1"/>
  <c r="N17" i="1"/>
  <c r="N134" i="1"/>
  <c r="N25" i="1"/>
  <c r="N121" i="1"/>
  <c r="N80" i="1"/>
  <c r="N29" i="1"/>
  <c r="N93" i="1"/>
  <c r="N71" i="1"/>
  <c r="N21" i="1"/>
  <c r="N91" i="1"/>
  <c r="N122" i="1"/>
  <c r="N81" i="1"/>
  <c r="N123" i="1"/>
  <c r="N135" i="1"/>
  <c r="N117" i="1"/>
  <c r="N102" i="1"/>
  <c r="N124" i="1"/>
  <c r="N7" i="1"/>
  <c r="N82" i="1"/>
  <c r="N83" i="1"/>
  <c r="N108" i="1"/>
  <c r="N75" i="1"/>
  <c r="N76" i="1"/>
  <c r="N30" i="1"/>
  <c r="N43" i="1"/>
  <c r="N136" i="1"/>
  <c r="N55" i="1"/>
  <c r="N94" i="1"/>
  <c r="N11" i="1"/>
  <c r="N31" i="1"/>
  <c r="N65" i="1"/>
  <c r="N18" i="1"/>
  <c r="N32" i="1"/>
  <c r="N109" i="1"/>
  <c r="N103" i="1"/>
  <c r="N72" i="1"/>
  <c r="N118" i="1"/>
  <c r="N44" i="1"/>
  <c r="N56" i="1"/>
  <c r="N77" i="1"/>
  <c r="N57" i="1"/>
  <c r="N33" i="1"/>
  <c r="N39" i="1"/>
  <c r="N34" i="1"/>
  <c r="N110" i="1"/>
  <c r="N125" i="1"/>
  <c r="N84" i="1"/>
  <c r="N111" i="1"/>
  <c r="N126" i="1"/>
  <c r="N137" i="1"/>
  <c r="N8" i="1"/>
  <c r="N112" i="1"/>
  <c r="N119" i="1"/>
  <c r="N127" i="1"/>
  <c r="N45" i="1"/>
  <c r="N61" i="1"/>
  <c r="N85" i="1"/>
  <c r="N12" i="1"/>
  <c r="N58" i="1"/>
  <c r="N138" i="1"/>
  <c r="N113" i="1"/>
  <c r="N97" i="1"/>
  <c r="N66" i="1"/>
  <c r="N46" i="1"/>
  <c r="N4" i="1"/>
  <c r="N95" i="1"/>
  <c r="N67" i="1"/>
  <c r="N98" i="1"/>
  <c r="N47" i="1"/>
  <c r="N86" i="1"/>
  <c r="N68" i="1"/>
  <c r="N35" i="1"/>
  <c r="N40" i="1"/>
  <c r="N2" i="1"/>
  <c r="N114" i="1"/>
  <c r="N99" i="1"/>
  <c r="N36" i="1"/>
  <c r="N139" i="1"/>
  <c r="N22" i="1"/>
  <c r="N87" i="1"/>
  <c r="N128" i="1"/>
  <c r="N19" i="1"/>
  <c r="N129" i="1"/>
  <c r="N48" i="1"/>
  <c r="N105" i="1"/>
  <c r="N59" i="1"/>
  <c r="N140" i="1"/>
  <c r="N100" i="1"/>
  <c r="N5" i="1"/>
  <c r="N49" i="1"/>
  <c r="N50" i="1"/>
  <c r="N73" i="1"/>
  <c r="N41" i="1"/>
  <c r="N88" i="1"/>
  <c r="N37" i="1"/>
  <c r="N23" i="1"/>
  <c r="N104" i="1"/>
  <c r="N51" i="1"/>
  <c r="N89" i="1"/>
  <c r="N101" i="1"/>
  <c r="N90" i="1"/>
  <c r="N9" i="1"/>
  <c r="N141" i="1"/>
  <c r="N69" i="1"/>
  <c r="N42" i="1"/>
  <c r="N130" i="1"/>
  <c r="N70" i="1"/>
  <c r="N24" i="1"/>
  <c r="N60" i="1"/>
  <c r="M3" i="1"/>
  <c r="M20" i="1"/>
  <c r="M38" i="1"/>
  <c r="M6" i="1"/>
  <c r="M26" i="1"/>
  <c r="M52" i="1"/>
  <c r="M13" i="1"/>
  <c r="M106" i="1"/>
  <c r="M115" i="1"/>
  <c r="M131" i="1"/>
  <c r="M120" i="1"/>
  <c r="M53" i="1"/>
  <c r="M14" i="1"/>
  <c r="M92" i="1"/>
  <c r="M27" i="1"/>
  <c r="M15" i="1"/>
  <c r="M62" i="1"/>
  <c r="M132" i="1"/>
  <c r="M78" i="1"/>
  <c r="M63" i="1"/>
  <c r="M74" i="1"/>
  <c r="M54" i="1"/>
  <c r="M10" i="1"/>
  <c r="M79" i="1"/>
  <c r="M96" i="1"/>
  <c r="M28" i="1"/>
  <c r="M116" i="1"/>
  <c r="M133" i="1"/>
  <c r="M16" i="1"/>
  <c r="M107" i="1"/>
  <c r="M64" i="1"/>
  <c r="M17" i="1"/>
  <c r="M134" i="1"/>
  <c r="M25" i="1"/>
  <c r="M121" i="1"/>
  <c r="M80" i="1"/>
  <c r="M29" i="1"/>
  <c r="M93" i="1"/>
  <c r="M71" i="1"/>
  <c r="M21" i="1"/>
  <c r="M91" i="1"/>
  <c r="M122" i="1"/>
  <c r="M81" i="1"/>
  <c r="M123" i="1"/>
  <c r="M135" i="1"/>
  <c r="M117" i="1"/>
  <c r="M102" i="1"/>
  <c r="M124" i="1"/>
  <c r="M7" i="1"/>
  <c r="M82" i="1"/>
  <c r="M83" i="1"/>
  <c r="M108" i="1"/>
  <c r="M75" i="1"/>
  <c r="M76" i="1"/>
  <c r="M30" i="1"/>
  <c r="M43" i="1"/>
  <c r="M136" i="1"/>
  <c r="M55" i="1"/>
  <c r="M94" i="1"/>
  <c r="M11" i="1"/>
  <c r="M31" i="1"/>
  <c r="M65" i="1"/>
  <c r="M18" i="1"/>
  <c r="M32" i="1"/>
  <c r="M109" i="1"/>
  <c r="M103" i="1"/>
  <c r="M72" i="1"/>
  <c r="M118" i="1"/>
  <c r="M44" i="1"/>
  <c r="M56" i="1"/>
  <c r="M77" i="1"/>
  <c r="M57" i="1"/>
  <c r="M33" i="1"/>
  <c r="M39" i="1"/>
  <c r="M34" i="1"/>
  <c r="M110" i="1"/>
  <c r="M125" i="1"/>
  <c r="M84" i="1"/>
  <c r="M111" i="1"/>
  <c r="M126" i="1"/>
  <c r="M137" i="1"/>
  <c r="M8" i="1"/>
  <c r="M112" i="1"/>
  <c r="M119" i="1"/>
  <c r="M127" i="1"/>
  <c r="M45" i="1"/>
  <c r="M61" i="1"/>
  <c r="M85" i="1"/>
  <c r="M12" i="1"/>
  <c r="M58" i="1"/>
  <c r="M138" i="1"/>
  <c r="M113" i="1"/>
  <c r="M97" i="1"/>
  <c r="M66" i="1"/>
  <c r="M46" i="1"/>
  <c r="M4" i="1"/>
  <c r="M95" i="1"/>
  <c r="M67" i="1"/>
  <c r="M98" i="1"/>
  <c r="M47" i="1"/>
  <c r="M86" i="1"/>
  <c r="M68" i="1"/>
  <c r="M35" i="1"/>
  <c r="M40" i="1"/>
  <c r="M2" i="1"/>
  <c r="M114" i="1"/>
  <c r="M99" i="1"/>
  <c r="M36" i="1"/>
  <c r="M139" i="1"/>
  <c r="M22" i="1"/>
  <c r="M87" i="1"/>
  <c r="M128" i="1"/>
  <c r="M19" i="1"/>
  <c r="M129" i="1"/>
  <c r="M48" i="1"/>
  <c r="M105" i="1"/>
  <c r="M59" i="1"/>
  <c r="M140" i="1"/>
  <c r="M100" i="1"/>
  <c r="M5" i="1"/>
  <c r="M49" i="1"/>
  <c r="M50" i="1"/>
  <c r="M73" i="1"/>
  <c r="M41" i="1"/>
  <c r="M88" i="1"/>
  <c r="M37" i="1"/>
  <c r="M23" i="1"/>
  <c r="M104" i="1"/>
  <c r="M51" i="1"/>
  <c r="M89" i="1"/>
  <c r="M101" i="1"/>
  <c r="M90" i="1"/>
  <c r="M9" i="1"/>
  <c r="M141" i="1"/>
  <c r="M69" i="1"/>
  <c r="M42" i="1"/>
  <c r="M130" i="1"/>
  <c r="M70" i="1"/>
  <c r="M24" i="1"/>
  <c r="M60" i="1"/>
  <c r="V2" i="1" l="1"/>
  <c r="V9" i="1"/>
  <c r="V12" i="1"/>
  <c r="V18" i="1"/>
  <c r="V14" i="1"/>
  <c r="V22" i="1"/>
  <c r="V37" i="1"/>
  <c r="V33" i="1"/>
  <c r="V29" i="1"/>
  <c r="V42" i="1"/>
  <c r="V38" i="1"/>
  <c r="V48" i="1"/>
  <c r="V44" i="1"/>
  <c r="V58" i="1"/>
  <c r="V54" i="1"/>
  <c r="V70" i="1"/>
  <c r="V66" i="1"/>
  <c r="V62" i="1"/>
  <c r="V77" i="1"/>
  <c r="V78" i="1"/>
  <c r="V87" i="1"/>
  <c r="V83" i="1"/>
  <c r="V79" i="1"/>
  <c r="V93" i="1"/>
  <c r="V99" i="1"/>
  <c r="V104" i="1"/>
  <c r="V114" i="1"/>
  <c r="V110" i="1"/>
  <c r="V106" i="1"/>
  <c r="V116" i="1"/>
  <c r="V128" i="1"/>
  <c r="V124" i="1"/>
  <c r="V120" i="1"/>
  <c r="V138" i="1"/>
  <c r="V134" i="1"/>
  <c r="V5" i="1"/>
  <c r="V8" i="1"/>
  <c r="V11" i="1"/>
  <c r="V17" i="1"/>
  <c r="V13" i="1"/>
  <c r="V21" i="1"/>
  <c r="V36" i="1"/>
  <c r="V32" i="1"/>
  <c r="V28" i="1"/>
  <c r="V41" i="1"/>
  <c r="V51" i="1"/>
  <c r="V47" i="1"/>
  <c r="V43" i="1"/>
  <c r="V57" i="1"/>
  <c r="V53" i="1"/>
  <c r="V69" i="1"/>
  <c r="V65" i="1"/>
  <c r="V73" i="1"/>
  <c r="V76" i="1"/>
  <c r="V90" i="1"/>
  <c r="V86" i="1"/>
  <c r="V82" i="1"/>
  <c r="V91" i="1"/>
  <c r="V92" i="1"/>
  <c r="V98" i="1"/>
  <c r="V103" i="1"/>
  <c r="V113" i="1"/>
  <c r="V109" i="1"/>
  <c r="V119" i="1"/>
  <c r="V115" i="1"/>
  <c r="V127" i="1"/>
  <c r="V123" i="1"/>
  <c r="V141" i="1"/>
  <c r="V137" i="1"/>
  <c r="V133" i="1"/>
  <c r="V4" i="1"/>
  <c r="V7" i="1"/>
  <c r="V10" i="1"/>
  <c r="V16" i="1"/>
  <c r="V24" i="1"/>
  <c r="V20" i="1"/>
  <c r="V35" i="1"/>
  <c r="V31" i="1"/>
  <c r="V27" i="1"/>
  <c r="V40" i="1"/>
  <c r="V50" i="1"/>
  <c r="V46" i="1"/>
  <c r="V60" i="1"/>
  <c r="V56" i="1"/>
  <c r="V52" i="1"/>
  <c r="V68" i="1"/>
  <c r="V64" i="1"/>
  <c r="V72" i="1"/>
  <c r="V75" i="1"/>
  <c r="V89" i="1"/>
  <c r="V85" i="1"/>
  <c r="V81" i="1"/>
  <c r="V95" i="1"/>
  <c r="V101" i="1"/>
  <c r="V97" i="1"/>
  <c r="V102" i="1"/>
  <c r="V112" i="1"/>
  <c r="V108" i="1"/>
  <c r="V118" i="1"/>
  <c r="V130" i="1"/>
  <c r="V126" i="1"/>
  <c r="V122" i="1"/>
  <c r="V140" i="1"/>
  <c r="V136" i="1"/>
  <c r="V132" i="1"/>
  <c r="V3" i="1"/>
  <c r="V6" i="1"/>
  <c r="V19" i="1"/>
  <c r="V15" i="1"/>
  <c r="V23" i="1"/>
  <c r="V25" i="1"/>
  <c r="V34" i="1"/>
  <c r="V30" i="1"/>
  <c r="V26" i="1"/>
  <c r="V39" i="1"/>
  <c r="V49" i="1"/>
  <c r="V45" i="1"/>
  <c r="V59" i="1"/>
  <c r="V55" i="1"/>
  <c r="V61" i="1"/>
  <c r="V67" i="1"/>
  <c r="V63" i="1"/>
  <c r="V71" i="1"/>
  <c r="V74" i="1"/>
  <c r="V88" i="1"/>
  <c r="V84" i="1"/>
  <c r="V80" i="1"/>
  <c r="V94" i="1"/>
  <c r="V100" i="1"/>
  <c r="V96" i="1"/>
  <c r="V105" i="1"/>
  <c r="V111" i="1"/>
  <c r="V107" i="1"/>
  <c r="V117" i="1"/>
  <c r="V129" i="1"/>
  <c r="V125" i="1"/>
  <c r="V121" i="1"/>
  <c r="V139" i="1"/>
  <c r="V135" i="1"/>
  <c r="V131" i="1"/>
</calcChain>
</file>

<file path=xl/sharedStrings.xml><?xml version="1.0" encoding="utf-8"?>
<sst xmlns="http://schemas.openxmlformats.org/spreadsheetml/2006/main" count="1065" uniqueCount="369">
  <si>
    <t>TransactionID</t>
  </si>
  <si>
    <t>OrderDate</t>
  </si>
  <si>
    <t>CustomerName</t>
  </si>
  <si>
    <t>Email</t>
  </si>
  <si>
    <t>City</t>
  </si>
  <si>
    <t>Region</t>
  </si>
  <si>
    <t>Product</t>
  </si>
  <si>
    <t>Category</t>
  </si>
  <si>
    <t>Quantity</t>
  </si>
  <si>
    <t>UnitPrice</t>
  </si>
  <si>
    <t>Revenue</t>
  </si>
  <si>
    <t>PaymentMethod</t>
  </si>
  <si>
    <t>Kemi Evans</t>
  </si>
  <si>
    <t>kemi.evans@examplemail.com</t>
  </si>
  <si>
    <t>Sheffield</t>
  </si>
  <si>
    <t>Yorkshire</t>
  </si>
  <si>
    <t>Pen Set</t>
  </si>
  <si>
    <t>Stationery</t>
  </si>
  <si>
    <t>Card</t>
  </si>
  <si>
    <t>Chloe Roberts</t>
  </si>
  <si>
    <t>chloe.roberts@examplemail.com</t>
  </si>
  <si>
    <t>Manchester</t>
  </si>
  <si>
    <t>North West</t>
  </si>
  <si>
    <t>Air Fryer</t>
  </si>
  <si>
    <t>Appliances</t>
  </si>
  <si>
    <t>£499.99</t>
  </si>
  <si>
    <t>Quinn Green</t>
  </si>
  <si>
    <t>quinn.green@examplemail.com</t>
  </si>
  <si>
    <t>London</t>
  </si>
  <si>
    <t>Headphones</t>
  </si>
  <si>
    <t>Electronics</t>
  </si>
  <si>
    <t>PayPal</t>
  </si>
  <si>
    <t>Noah Chen</t>
  </si>
  <si>
    <t>noah.chen@examplemail.com</t>
  </si>
  <si>
    <t>Leeds</t>
  </si>
  <si>
    <t>Ben Singh</t>
  </si>
  <si>
    <t>ben.singh@examplemail.com</t>
  </si>
  <si>
    <t>Standing Desk</t>
  </si>
  <si>
    <t>Home Office</t>
  </si>
  <si>
    <t>Sara Singh</t>
  </si>
  <si>
    <t>sara.singh@examplemail.com</t>
  </si>
  <si>
    <t>South East</t>
  </si>
  <si>
    <t>Laptop</t>
  </si>
  <si>
    <t>Cash</t>
  </si>
  <si>
    <t>Ben Roberts</t>
  </si>
  <si>
    <t>ben.roberts@examplemail.com</t>
  </si>
  <si>
    <t>West Midlands</t>
  </si>
  <si>
    <t>Coffee Machine</t>
  </si>
  <si>
    <t>£899.99</t>
  </si>
  <si>
    <t xml:space="preserve"> PayPal </t>
  </si>
  <si>
    <t>15-Sep-2025</t>
  </si>
  <si>
    <t>Ethan Roberts</t>
  </si>
  <si>
    <t>ethan.roberts@examplemail.com</t>
  </si>
  <si>
    <t>Notebook</t>
  </si>
  <si>
    <t>Bank Transfer</t>
  </si>
  <si>
    <t>Ravi Vaughan</t>
  </si>
  <si>
    <t>ravi.vaughan@examplemail.com</t>
  </si>
  <si>
    <t>Birmingham</t>
  </si>
  <si>
    <t>Liam Davis</t>
  </si>
  <si>
    <t>liam.davis@examplemail.com</t>
  </si>
  <si>
    <t>Edinburgh</t>
  </si>
  <si>
    <t>Scotland</t>
  </si>
  <si>
    <t>Monitor</t>
  </si>
  <si>
    <t>Sara Brown</t>
  </si>
  <si>
    <t>sara.brown@examplemail.com</t>
  </si>
  <si>
    <t>Cardiff</t>
  </si>
  <si>
    <t>Wales</t>
  </si>
  <si>
    <t>10/13/2025</t>
  </si>
  <si>
    <t>Victor Roberts</t>
  </si>
  <si>
    <t>victor.roberts@examplemail.com</t>
  </si>
  <si>
    <t>Keyboard</t>
  </si>
  <si>
    <t>09/09/2025</t>
  </si>
  <si>
    <t>Olivia Singh</t>
  </si>
  <si>
    <t>olivia.singh@examplemail.com</t>
  </si>
  <si>
    <t>Glasgow</t>
  </si>
  <si>
    <t>1</t>
  </si>
  <si>
    <t>10-Oct-2025</t>
  </si>
  <si>
    <t>Hassan Zimmerman</t>
  </si>
  <si>
    <t>hassan.zimmerman@examplemail.com</t>
  </si>
  <si>
    <t>Chloe Singh</t>
  </si>
  <si>
    <t>chloe.singh@examplemail.com</t>
  </si>
  <si>
    <t>Liverpool</t>
  </si>
  <si>
    <t>Water Bottle</t>
  </si>
  <si>
    <t>Accessories</t>
  </si>
  <si>
    <t>2025-10-19</t>
  </si>
  <si>
    <t>Kemi Xu</t>
  </si>
  <si>
    <t>kemi.xu@examplemail.com</t>
  </si>
  <si>
    <t>Daniel Quinn</t>
  </si>
  <si>
    <t>daniel.quinn@examplemail.com</t>
  </si>
  <si>
    <t>Office Chair</t>
  </si>
  <si>
    <t>Ethan Patel</t>
  </si>
  <si>
    <t>ethan.patel@examplemail.com</t>
  </si>
  <si>
    <t>Yasmin Roberts</t>
  </si>
  <si>
    <t>yasmin.roberts@examplemail.com</t>
  </si>
  <si>
    <t>Kemi Williams</t>
  </si>
  <si>
    <t>kemi.williams@examplemail.com</t>
  </si>
  <si>
    <t>Bristol</t>
  </si>
  <si>
    <t>South West</t>
  </si>
  <si>
    <t>Sara Zimmerman</t>
  </si>
  <si>
    <t>sara.zimmerman@examplemail.com</t>
  </si>
  <si>
    <t>Isla Patel</t>
  </si>
  <si>
    <t>isla.patel@examplemail.com</t>
  </si>
  <si>
    <t>Nottingham</t>
  </si>
  <si>
    <t>East Midlands</t>
  </si>
  <si>
    <t>Ben Xu</t>
  </si>
  <si>
    <t>ben.xu@examplemail.com</t>
  </si>
  <si>
    <t>Jack Williams</t>
  </si>
  <si>
    <t>jack.williams@examplemail.com</t>
  </si>
  <si>
    <t>SHEFFIELD</t>
  </si>
  <si>
    <t>Aisha Osei</t>
  </si>
  <si>
    <t>aisha.osei@examplemail.com</t>
  </si>
  <si>
    <t xml:space="preserve"> BRISTOL</t>
  </si>
  <si>
    <t>Priya Brown</t>
  </si>
  <si>
    <t>£199.99</t>
  </si>
  <si>
    <t>Ethan Xu</t>
  </si>
  <si>
    <t>ethan.xu@examplemail.com</t>
  </si>
  <si>
    <t>Backpack</t>
  </si>
  <si>
    <t>Priya Chen</t>
  </si>
  <si>
    <t>priya.chen@examplemail.com</t>
  </si>
  <si>
    <t>Smartwatch</t>
  </si>
  <si>
    <t>Ravi Iqbal</t>
  </si>
  <si>
    <t>ravi.iqbal@examplemail.com</t>
  </si>
  <si>
    <t>Mouse</t>
  </si>
  <si>
    <t>£19.99</t>
  </si>
  <si>
    <t>Victor Martin</t>
  </si>
  <si>
    <t>victor.martin@examplemail.com</t>
  </si>
  <si>
    <t>Fatima Evans</t>
  </si>
  <si>
    <t>fatima.evans@examplemail.com</t>
  </si>
  <si>
    <t>Aisha Patel</t>
  </si>
  <si>
    <t>aisha.patel@examplemail.com</t>
  </si>
  <si>
    <t>Jack Ahmed</t>
  </si>
  <si>
    <t>£79.99</t>
  </si>
  <si>
    <t>27-Oct-2025</t>
  </si>
  <si>
    <t>Tariq Singh</t>
  </si>
  <si>
    <t>tariq.singh@examplemail.com</t>
  </si>
  <si>
    <t>Olivia Young</t>
  </si>
  <si>
    <t>olivia.young@examplemail.com</t>
  </si>
  <si>
    <t>Belfast</t>
  </si>
  <si>
    <t>Northern Ireland</t>
  </si>
  <si>
    <t>Maya Martin</t>
  </si>
  <si>
    <t>maya.martin@examplemail.com</t>
  </si>
  <si>
    <t>Uma Martin</t>
  </si>
  <si>
    <t>uma.martin@examplemail.com</t>
  </si>
  <si>
    <t>Grace Osei</t>
  </si>
  <si>
    <t>grace.osei@examplemail.com</t>
  </si>
  <si>
    <t>2025-09-10</t>
  </si>
  <si>
    <t>Tariq Brown</t>
  </si>
  <si>
    <t>tariq.brown@examplemail.com</t>
  </si>
  <si>
    <t>27-Nov-2025</t>
  </si>
  <si>
    <t>Ravi Davis</t>
  </si>
  <si>
    <t>£14.99</t>
  </si>
  <si>
    <t>Chloe Green</t>
  </si>
  <si>
    <t>chloe.green@examplemail.com</t>
  </si>
  <si>
    <t>Uma Iqbal</t>
  </si>
  <si>
    <t>uma.iqbal@examplemail.com</t>
  </si>
  <si>
    <t xml:space="preserve"> Bank Transfer </t>
  </si>
  <si>
    <t>Priya Davis</t>
  </si>
  <si>
    <t>priya.davis@examplemail.com</t>
  </si>
  <si>
    <t>Olivia Patel</t>
  </si>
  <si>
    <t>olivia.patel@examplemail.com</t>
  </si>
  <si>
    <t>Ethan Davis</t>
  </si>
  <si>
    <t>ethan.davis@examplemail.com</t>
  </si>
  <si>
    <t>Priya Williams</t>
  </si>
  <si>
    <t>priya.williams@examplemail.com</t>
  </si>
  <si>
    <t>Grace Quinn</t>
  </si>
  <si>
    <t>grace.quinn@examplemail.com</t>
  </si>
  <si>
    <t>Yasmin Quinn</t>
  </si>
  <si>
    <t>yasmin.quinn@examplemail.com</t>
  </si>
  <si>
    <t>£1,499.97</t>
  </si>
  <si>
    <t>Wendy Iqbal</t>
  </si>
  <si>
    <t>wendy.iqbal@examplemail.com</t>
  </si>
  <si>
    <t>Liam Young</t>
  </si>
  <si>
    <t>liam.young@examplemail.com</t>
  </si>
  <si>
    <t>Uma Hughes</t>
  </si>
  <si>
    <t>uma.hughes@examplemail.com</t>
  </si>
  <si>
    <t>Zoe Hughes</t>
  </si>
  <si>
    <t>zoe.hughes@examplemail.com</t>
  </si>
  <si>
    <t>Aisha Zimmerman</t>
  </si>
  <si>
    <t>aisha.zimmerman@examplemail.com</t>
  </si>
  <si>
    <t>Grace Williams</t>
  </si>
  <si>
    <t>grace.williams@examplemail.com</t>
  </si>
  <si>
    <t>08-Sep-2025</t>
  </si>
  <si>
    <t>Zoe Xu</t>
  </si>
  <si>
    <t>zoe.xu@examplemail.com</t>
  </si>
  <si>
    <t>Hassan Davis</t>
  </si>
  <si>
    <t>hassan.davis@examplemail.com</t>
  </si>
  <si>
    <t>£99.98</t>
  </si>
  <si>
    <t>Kemi Green</t>
  </si>
  <si>
    <t>kemi.green@examplemail.com</t>
  </si>
  <si>
    <t>Priya Usman</t>
  </si>
  <si>
    <t>priya.usman@examplemail.com</t>
  </si>
  <si>
    <t>11/07/2025</t>
  </si>
  <si>
    <t>Victor Davis</t>
  </si>
  <si>
    <t>victor.davis@examplemail.com</t>
  </si>
  <si>
    <t>Priya Foster</t>
  </si>
  <si>
    <t>priya.foster@examplemail.com</t>
  </si>
  <si>
    <t>Chloe Zimmerman</t>
  </si>
  <si>
    <t>chloe.zimmerman@examplemail.com</t>
  </si>
  <si>
    <t>Maya Xu</t>
  </si>
  <si>
    <t>maya.xu@examplemail.com</t>
  </si>
  <si>
    <t>Zoe Usman</t>
  </si>
  <si>
    <t>zoe.usman@examplemail.com</t>
  </si>
  <si>
    <t>Victor Lewis</t>
  </si>
  <si>
    <t>victor.lewis@examplemail.com</t>
  </si>
  <si>
    <t>Aisha Ahmed</t>
  </si>
  <si>
    <t>aisha.ahmed@examplemail.com</t>
  </si>
  <si>
    <t>Quinn Xu</t>
  </si>
  <si>
    <t>quinn.xu@examplemail.com</t>
  </si>
  <si>
    <t>Grace Ahmed</t>
  </si>
  <si>
    <t>grace.ahmed@examplemail.com</t>
  </si>
  <si>
    <t xml:space="preserve">LIVERPOOL  </t>
  </si>
  <si>
    <t>Quinn Hughes</t>
  </si>
  <si>
    <t>quinn.hughes@examplemail.com</t>
  </si>
  <si>
    <t>£59.97</t>
  </si>
  <si>
    <t>Ravi Nguyen</t>
  </si>
  <si>
    <t>ravi.nguyen@examplemail.com</t>
  </si>
  <si>
    <t>Olivia Vaughan</t>
  </si>
  <si>
    <t>olivia.vaughan@examplemail.com</t>
  </si>
  <si>
    <t>Quinn Evans</t>
  </si>
  <si>
    <t>quinn.evans@examplemail.com</t>
  </si>
  <si>
    <t xml:space="preserve"> Card </t>
  </si>
  <si>
    <t>Yasmin Zimmerman</t>
  </si>
  <si>
    <t>yasmin.zimmerman@examplemail.com</t>
  </si>
  <si>
    <t>Priya Taylor</t>
  </si>
  <si>
    <t>Kemi Vaughan</t>
  </si>
  <si>
    <t>kemi.vaughan@examplemail.com</t>
  </si>
  <si>
    <t>Zoe Young</t>
  </si>
  <si>
    <t>zoe.young@examplemail.com</t>
  </si>
  <si>
    <t>Hassan Green</t>
  </si>
  <si>
    <t>hassan.green@examplemail.com</t>
  </si>
  <si>
    <t>Quinn Osei</t>
  </si>
  <si>
    <t>quinn.osei@examplemail.com</t>
  </si>
  <si>
    <t>Olivia Khan</t>
  </si>
  <si>
    <t>olivia.khan@examplemail.com</t>
  </si>
  <si>
    <t>North East</t>
  </si>
  <si>
    <t xml:space="preserve">NOTTINGHAM  </t>
  </si>
  <si>
    <t>Ravi Green</t>
  </si>
  <si>
    <t>ravi.green@examplemail.com</t>
  </si>
  <si>
    <t>2025-09-15</t>
  </si>
  <si>
    <t>Daniel Martin</t>
  </si>
  <si>
    <t>daniel.martin@examplemail.com</t>
  </si>
  <si>
    <t>£129.99</t>
  </si>
  <si>
    <t>Victor Hughes</t>
  </si>
  <si>
    <t>victor.hughes@examplemail.com</t>
  </si>
  <si>
    <t xml:space="preserve">SHEFFIELD  </t>
  </si>
  <si>
    <t>Victor Johnson</t>
  </si>
  <si>
    <t>victor.johnson@examplemail.com</t>
  </si>
  <si>
    <t>Wendy Usman</t>
  </si>
  <si>
    <t>wendy.usman@examplemail.com</t>
  </si>
  <si>
    <t>30/10/2025</t>
  </si>
  <si>
    <t>Isla Evans</t>
  </si>
  <si>
    <t>isla.evans@examplemail.com</t>
  </si>
  <si>
    <t>2025-10-06</t>
  </si>
  <si>
    <t>Maya Patel</t>
  </si>
  <si>
    <t>maya.patel@examplemail.com</t>
  </si>
  <si>
    <t>19/10/2025</t>
  </si>
  <si>
    <t>Fatima Williams</t>
  </si>
  <si>
    <t>fatima.williams@examplemail.com</t>
  </si>
  <si>
    <t>Kemi Nguyen</t>
  </si>
  <si>
    <t>kemi.nguyen@examplemail.com</t>
  </si>
  <si>
    <t>14/10/2025</t>
  </si>
  <si>
    <t>Chloe Xu</t>
  </si>
  <si>
    <t>chloe.xu@examplemail.com</t>
  </si>
  <si>
    <t>Ravi Osei</t>
  </si>
  <si>
    <t>Maya Khan</t>
  </si>
  <si>
    <t>maya.khan@examplemail.com</t>
  </si>
  <si>
    <t>Quinn Chen</t>
  </si>
  <si>
    <t>quinn.chen@examplemail.com</t>
  </si>
  <si>
    <t>Daniel Chen</t>
  </si>
  <si>
    <t>daniel.chen@examplemail.com</t>
  </si>
  <si>
    <t>Yasmin Foster</t>
  </si>
  <si>
    <t>yasmin.foster@examplemail.com</t>
  </si>
  <si>
    <t>Noah Vaughan</t>
  </si>
  <si>
    <t>noah.vaughan@examplemail.com</t>
  </si>
  <si>
    <t>Ravi Quinn</t>
  </si>
  <si>
    <t>ravi.quinn@examplemail.com</t>
  </si>
  <si>
    <t>Chloe Iqbal</t>
  </si>
  <si>
    <t>chloe.iqbal@examplemail.com</t>
  </si>
  <si>
    <t>13-Sep-2025</t>
  </si>
  <si>
    <t>Zoe Iqbal</t>
  </si>
  <si>
    <t>zoe.iqbal@examplemail.com</t>
  </si>
  <si>
    <t>Kemi Roberts</t>
  </si>
  <si>
    <t>kemi.roberts@examplemail.com</t>
  </si>
  <si>
    <t>30-Sep-2025</t>
  </si>
  <si>
    <t>Ben Quinn</t>
  </si>
  <si>
    <t>ben.quinn@examplemail.com</t>
  </si>
  <si>
    <t>Fatima Iqbal</t>
  </si>
  <si>
    <t>fatima.iqbal@examplemail.com</t>
  </si>
  <si>
    <t xml:space="preserve"> LONDON </t>
  </si>
  <si>
    <t>Jack Usman</t>
  </si>
  <si>
    <t>jack.usman@examplemail.com</t>
  </si>
  <si>
    <t>Jack Osei</t>
  </si>
  <si>
    <t>jack.osei@examplemail.com</t>
  </si>
  <si>
    <t>Isla Lewis</t>
  </si>
  <si>
    <t>isla.lewis@examplemail.com</t>
  </si>
  <si>
    <t>Quinn Patel</t>
  </si>
  <si>
    <t>quinn.patel@examplemail.com</t>
  </si>
  <si>
    <t>Victor Usman</t>
  </si>
  <si>
    <t>victor.usman@examplemail.com</t>
  </si>
  <si>
    <t>Ravi Martin</t>
  </si>
  <si>
    <t>ravi.martin@examplemail.com</t>
  </si>
  <si>
    <t>Hassan Khan</t>
  </si>
  <si>
    <t>£9.99</t>
  </si>
  <si>
    <t>Maya Lewis</t>
  </si>
  <si>
    <t>maya.lewis@examplemail.com</t>
  </si>
  <si>
    <t>Aisha Chen</t>
  </si>
  <si>
    <t>aisha.chen@examplemail.com</t>
  </si>
  <si>
    <t>Noah Foster</t>
  </si>
  <si>
    <t>noah.foster@examplemail.com</t>
  </si>
  <si>
    <t>Quinn Vaughan</t>
  </si>
  <si>
    <t>quinn.vaughan@examplemail.com</t>
  </si>
  <si>
    <t>Wendy Johnson</t>
  </si>
  <si>
    <t>wendy.johnson@examplemail.com</t>
  </si>
  <si>
    <t>Liam Khan</t>
  </si>
  <si>
    <t>liam.khan@examplemail.com</t>
  </si>
  <si>
    <t>Ben Johnson</t>
  </si>
  <si>
    <t>ben.johnson@examplemail.com</t>
  </si>
  <si>
    <t>Aisha Khan</t>
  </si>
  <si>
    <t>aisha.khan@examplemail.com</t>
  </si>
  <si>
    <t>Midlands</t>
  </si>
  <si>
    <t>Isla Quinn</t>
  </si>
  <si>
    <t>isla.quinn@examplemail.com</t>
  </si>
  <si>
    <t>Quinn Young</t>
  </si>
  <si>
    <t>quinn.young@examplemail.com</t>
  </si>
  <si>
    <t>Chloe Evans</t>
  </si>
  <si>
    <t>chloe.evans@examplemail.com</t>
  </si>
  <si>
    <t>Maya Ahmed</t>
  </si>
  <si>
    <t>maya.ahmed@examplemail.com</t>
  </si>
  <si>
    <t xml:space="preserve"> EDINBURGH  </t>
  </si>
  <si>
    <t>Victor Williams</t>
  </si>
  <si>
    <t>victor.williams@examplemail.com</t>
  </si>
  <si>
    <t>Xavier Patel</t>
  </si>
  <si>
    <t>xavier.patel@examplemail.com</t>
  </si>
  <si>
    <t>£49.99</t>
  </si>
  <si>
    <t>Ben Williams</t>
  </si>
  <si>
    <t>ben.williams@examplemail.com</t>
  </si>
  <si>
    <t xml:space="preserve">EDINBURGH  </t>
  </si>
  <si>
    <t>25/10/2025</t>
  </si>
  <si>
    <t>Xavier Williams</t>
  </si>
  <si>
    <t>xavier.williams@examplemail.com</t>
  </si>
  <si>
    <t>Victor Singh</t>
  </si>
  <si>
    <t>victor.singh@examplemail.com</t>
  </si>
  <si>
    <t>Chloe Ahmed</t>
  </si>
  <si>
    <t>chloe.ahmed@examplemail.com</t>
  </si>
  <si>
    <t>Uma Ahmed</t>
  </si>
  <si>
    <t>uma.ahmed@examplemail.com</t>
  </si>
  <si>
    <t>Priya Iqbal</t>
  </si>
  <si>
    <t>priya.iqbal@examplemail.com</t>
  </si>
  <si>
    <t>Xavier Quinn</t>
  </si>
  <si>
    <t>xavier.quinn@examplemail.com</t>
  </si>
  <si>
    <t>2</t>
  </si>
  <si>
    <t>Quality Notes</t>
  </si>
  <si>
    <t>V2: I found blanks in ….....................</t>
  </si>
  <si>
    <t>V3: I found inconsistent texts in ….............</t>
  </si>
  <si>
    <t>V1: I found duplicate in …......................</t>
  </si>
  <si>
    <t>V4: I found data issues in …......................</t>
  </si>
  <si>
    <t>V5: I found currency/number issues in …...</t>
  </si>
  <si>
    <t>Unknown</t>
  </si>
  <si>
    <t>missing@unknoown.com</t>
  </si>
  <si>
    <t>City_Clean</t>
  </si>
  <si>
    <t>FirstName</t>
  </si>
  <si>
    <t>LastName</t>
  </si>
  <si>
    <t>EmailDomain</t>
  </si>
  <si>
    <t>UnitPrice2</t>
  </si>
  <si>
    <t>Revenue_Number</t>
  </si>
  <si>
    <t>OrderDate_Clean</t>
  </si>
  <si>
    <t>Paynentmethod_Clean</t>
  </si>
  <si>
    <t>OrderMonth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</si>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</sst>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£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44F34-1D86-40E4-A885-48CFE0253267}" name="SalesRaw" displayName="SalesRaw" ref="A1:V141" totalsRowShown="0" headerRowDxfId="25" dataDxfId="23" headerRowBorderDxfId="24" tableBorderDxfId="22">
  <autoFilter ref="A1:V141" xr:uid="{5F244F34-1D86-40E4-A885-48CFE0253267}"/>
  <sortState xmlns:xlrd2="http://schemas.microsoft.com/office/spreadsheetml/2017/richdata2" ref="A2:V141">
    <sortCondition descending="1" ref="R1:R141"/>
  </sortState>
  <tableColumns count="22">
    <tableColumn id="1" xr3:uid="{CDAD3651-A105-4C88-AF28-1B43CB4FF4FE}" name="TransactionID" dataDxfId="21"/>
    <tableColumn id="2" xr3:uid="{68B52BA3-C0A4-4964-8FBD-F2727C092474}" name="OrderDate" dataDxfId="20"/>
    <tableColumn id="3" xr3:uid="{6311F406-A19D-401A-863A-60CCBDBAA2B5}" name="CustomerName" dataDxfId="19"/>
    <tableColumn id="4" xr3:uid="{C9AD9965-A488-4104-9A5A-923C490C4941}" name="Email" dataDxfId="18"/>
    <tableColumn id="5" xr3:uid="{F3E1D243-13B5-4A43-A479-B1663E2A5B97}" name="City" dataDxfId="17"/>
    <tableColumn id="6" xr3:uid="{2EABA89F-27B1-4125-8289-8C50C889E08E}" name="Region" dataDxfId="16"/>
    <tableColumn id="7" xr3:uid="{6CCDDAC5-F5F8-46C2-B198-7B106BD46E29}" name="Product" dataDxfId="15"/>
    <tableColumn id="8" xr3:uid="{2976A9AD-D55C-47DC-A651-E34E4CC69262}" name="Category" dataDxfId="14"/>
    <tableColumn id="9" xr3:uid="{9778DB63-365F-41E0-9429-87B27BA9EEDC}" name="Quantity" dataDxfId="13"/>
    <tableColumn id="10" xr3:uid="{2D828F9C-3EFB-486C-BB3D-BA9E84089DDD}" name="UnitPrice" dataDxfId="12"/>
    <tableColumn id="11" xr3:uid="{BAE2C1B0-AFEE-4BCA-A454-367E7ECDBF6B}" name="Revenue" dataDxfId="11"/>
    <tableColumn id="12" xr3:uid="{B696599F-5A8D-479C-8B83-5C096C43842D}" name="PaymentMethod" dataDxfId="10"/>
    <tableColumn id="13" xr3:uid="{4A40A7AC-D717-4872-B815-C2947AED1764}" name="City_Clean" dataDxfId="9">
      <calculatedColumnFormula>PROPER(TRIM(SalesRaw[[#This Row],[City]]))</calculatedColumnFormula>
    </tableColumn>
    <tableColumn id="14" xr3:uid="{9ACD6B94-EB60-4795-AE42-3B495D67CC60}" name="FirstName" dataDxfId="8">
      <calculatedColumnFormula>_xlfn.TEXTBEFORE(SalesRaw[[#This Row],[CustomerName]]," ")</calculatedColumnFormula>
    </tableColumn>
    <tableColumn id="15" xr3:uid="{4166EA11-D88D-4A5B-BD3B-709867E59068}" name="LastName" dataDxfId="7">
      <calculatedColumnFormula>_xlfn.TEXTAFTER(SalesRaw[[#This Row],[CustomerName]]," ")</calculatedColumnFormula>
    </tableColumn>
    <tableColumn id="16" xr3:uid="{852DB4E2-0060-46FE-961F-3C139931AF76}" name="EmailDomain" dataDxfId="6">
      <calculatedColumnFormula>_xlfn.TEXTAFTER(SalesRaw[[#This Row],[Email]],"@")</calculatedColumnFormula>
    </tableColumn>
    <tableColumn id="17" xr3:uid="{BCF7566B-4C81-4AF9-9BD0-EA1E0F22D2F8}" name="UnitPrice2" dataDxfId="5">
      <calculatedColumnFormula>_xlfn.NUMBERVALUE(SUBSTITUTE(SUBSTITUTE(SalesRaw[[#This Row],[UnitPrice]],"£",""),",",""))</calculatedColumnFormula>
    </tableColumn>
    <tableColumn id="18" xr3:uid="{B9551B89-3325-4A69-A446-99F11BF5A526}" name="Revenue_Number" dataDxfId="4">
      <calculatedColumnFormula>_xlfn.NUMBERVALUE(SUBSTITUTE(SUBSTITUTE(SalesRaw[[#This Row],[Revenue]],"£",""),",",""))</calculatedColumnFormula>
    </tableColumn>
    <tableColumn id="19" xr3:uid="{F03C93EB-1FC3-42E7-BA13-65A88E027D18}" name="OrderDate_Clean" dataDxfId="3">
      <calculatedColumnFormula>IF(ISNUMBER(SalesRaw[[#This Row],[OrderDate]]),SalesRaw[[#This Row],[OrderDate]],DATEVALUE(SalesRaw[[#This Row],[OrderDate]]))</calculatedColumnFormula>
    </tableColumn>
    <tableColumn id="20" xr3:uid="{63041DA9-029A-4723-AB90-DA11C71BA64E}" name="Paynentmethod_Clean" dataDxfId="2">
      <calculatedColumnFormula>PROPER(TRIM(SalesRaw[[#This Row],[PaymentMethod]]))</calculatedColumnFormula>
    </tableColumn>
    <tableColumn id="21" xr3:uid="{9F0170A9-B234-4C92-B40D-A8B623D76549}" name="OrderMonth" dataDxfId="1">
      <calculatedColumnFormula>TEXT(S2,"mmmm")</calculatedColumnFormula>
    </tableColumn>
    <tableColumn id="22" xr3:uid="{BFEDC48A-A2A9-4C6F-8185-A3EB0E4D49BE}" name="Weekday" dataDxfId="0">
      <calculatedColumnFormula>TEXT(S2,"dddd")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missing@unknoown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issing@unknoown.com" TargetMode="External"/><Relationship Id="rId1" Type="http://schemas.openxmlformats.org/officeDocument/2006/relationships/hyperlink" Target="mailto:missing@unknoown.com" TargetMode="External"/><Relationship Id="rId6" Type="http://schemas.openxmlformats.org/officeDocument/2006/relationships/hyperlink" Target="mailto:missing@unknoown.com" TargetMode="External"/><Relationship Id="rId5" Type="http://schemas.openxmlformats.org/officeDocument/2006/relationships/hyperlink" Target="mailto:missing@unknoown.com" TargetMode="External"/><Relationship Id="rId4" Type="http://schemas.openxmlformats.org/officeDocument/2006/relationships/hyperlink" Target="mailto:missing@unknoow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N2" workbookViewId="0">
      <selection activeCell="T2" sqref="T2"/>
    </sheetView>
  </sheetViews>
  <sheetFormatPr defaultColWidth="14.453125" defaultRowHeight="15" customHeight="1" x14ac:dyDescent="0.35"/>
  <cols>
    <col min="1" max="1" width="24.08984375" customWidth="1"/>
    <col min="2" max="2" width="24.453125" customWidth="1"/>
    <col min="3" max="3" width="22.7265625" customWidth="1"/>
    <col min="4" max="4" width="30.6328125" customWidth="1"/>
    <col min="5" max="5" width="17.7265625" customWidth="1"/>
    <col min="6" max="6" width="15.453125" customWidth="1"/>
    <col min="7" max="7" width="14.453125" customWidth="1"/>
    <col min="8" max="8" width="14.26953125" customWidth="1"/>
    <col min="9" max="9" width="18.453125" customWidth="1"/>
    <col min="10" max="10" width="19.81640625" customWidth="1"/>
    <col min="11" max="11" width="19.54296875" customWidth="1"/>
    <col min="12" max="12" width="17.453125" customWidth="1"/>
    <col min="13" max="13" width="14.26953125" customWidth="1"/>
    <col min="14" max="14" width="12.81640625" customWidth="1"/>
    <col min="15" max="15" width="10.08984375" customWidth="1"/>
    <col min="16" max="16" width="21.1796875" customWidth="1"/>
    <col min="17" max="17" width="8.81640625" customWidth="1"/>
    <col min="18" max="18" width="14.90625" style="7" customWidth="1"/>
    <col min="19" max="19" width="18.08984375" style="9" customWidth="1"/>
    <col min="20" max="20" width="21.1796875" customWidth="1"/>
    <col min="21" max="21" width="18.81640625" customWidth="1"/>
    <col min="22" max="22" width="16.453125" customWidth="1"/>
    <col min="23" max="26" width="8.81640625" customWidth="1"/>
  </cols>
  <sheetData>
    <row r="1" spans="1:26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359</v>
      </c>
      <c r="N1" s="3" t="s">
        <v>360</v>
      </c>
      <c r="O1" s="3" t="s">
        <v>361</v>
      </c>
      <c r="P1" s="3" t="s">
        <v>362</v>
      </c>
      <c r="Q1" s="6" t="s">
        <v>363</v>
      </c>
      <c r="R1" s="6" t="s">
        <v>364</v>
      </c>
      <c r="S1" s="8" t="s">
        <v>365</v>
      </c>
      <c r="T1" s="3" t="s">
        <v>366</v>
      </c>
      <c r="U1" s="3" t="s">
        <v>367</v>
      </c>
      <c r="V1" s="3" t="s">
        <v>368</v>
      </c>
      <c r="Z1" s="4" t="s">
        <v>351</v>
      </c>
    </row>
    <row r="2" spans="1:26" ht="14.5" x14ac:dyDescent="0.35">
      <c r="A2" s="1">
        <v>100104</v>
      </c>
      <c r="B2" s="2">
        <v>45977</v>
      </c>
      <c r="C2" s="1" t="s">
        <v>276</v>
      </c>
      <c r="D2" s="1" t="s">
        <v>277</v>
      </c>
      <c r="E2" s="1" t="s">
        <v>21</v>
      </c>
      <c r="F2" s="1" t="s">
        <v>22</v>
      </c>
      <c r="G2" s="1" t="s">
        <v>119</v>
      </c>
      <c r="H2" s="1" t="s">
        <v>30</v>
      </c>
      <c r="I2" s="1">
        <v>3</v>
      </c>
      <c r="J2" s="1" t="s">
        <v>48</v>
      </c>
      <c r="K2" s="1">
        <v>2699.97</v>
      </c>
      <c r="L2" s="1" t="s">
        <v>18</v>
      </c>
      <c r="M2" t="str">
        <f>PROPER(TRIM(SalesRaw[[#This Row],[City]]))</f>
        <v>Manchester</v>
      </c>
      <c r="N2" t="str">
        <f>_xlfn.TEXTBEFORE(SalesRaw[[#This Row],[CustomerName]]," ")</f>
        <v>Chloe</v>
      </c>
      <c r="O2" t="str">
        <f>_xlfn.TEXTAFTER(SalesRaw[[#This Row],[CustomerName]]," ")</f>
        <v>Iqbal</v>
      </c>
      <c r="P2" t="str">
        <f>_xlfn.TEXTAFTER(SalesRaw[[#This Row],[Email]],"@")</f>
        <v>examplemail.com</v>
      </c>
      <c r="Q2" s="7">
        <f>_xlfn.NUMBERVALUE(SUBSTITUTE(SUBSTITUTE(SalesRaw[[#This Row],[UnitPrice]],"£",""),",",""))</f>
        <v>899.99</v>
      </c>
      <c r="R2" s="7">
        <f>_xlfn.NUMBERVALUE(SUBSTITUTE(SUBSTITUTE(SalesRaw[[#This Row],[Revenue]],"£",""),",",""))</f>
        <v>2699.97</v>
      </c>
      <c r="S2" s="9">
        <f>IF(ISNUMBER(SalesRaw[[#This Row],[OrderDate]]),SalesRaw[[#This Row],[OrderDate]],DATEVALUE(SalesRaw[[#This Row],[OrderDate]]))</f>
        <v>45977</v>
      </c>
      <c r="T2" t="str">
        <f>PROPER(TRIM(SalesRaw[[#This Row],[PaymentMethod]]))</f>
        <v>Card</v>
      </c>
      <c r="U2" t="str">
        <f>TEXT(S2,"mmmm")</f>
        <v>November</v>
      </c>
      <c r="V2" t="str">
        <f>TEXT(S2,"dddd")</f>
        <v>Sunday</v>
      </c>
      <c r="Z2" s="4" t="s">
        <v>354</v>
      </c>
    </row>
    <row r="3" spans="1:26" ht="14.5" x14ac:dyDescent="0.35">
      <c r="A3" s="1">
        <v>100000</v>
      </c>
      <c r="B3" s="2">
        <v>45948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2</v>
      </c>
      <c r="J3" s="1">
        <v>899.99</v>
      </c>
      <c r="K3" s="1">
        <v>1799.98</v>
      </c>
      <c r="L3" s="1" t="s">
        <v>18</v>
      </c>
      <c r="M3" t="str">
        <f>PROPER(TRIM(SalesRaw[[#This Row],[City]]))</f>
        <v>Sheffield</v>
      </c>
      <c r="N3" t="str">
        <f>_xlfn.TEXTBEFORE(SalesRaw[[#This Row],[CustomerName]]," ")</f>
        <v>Kemi</v>
      </c>
      <c r="O3" t="str">
        <f>_xlfn.TEXTAFTER(SalesRaw[[#This Row],[CustomerName]]," ")</f>
        <v>Evans</v>
      </c>
      <c r="P3" t="str">
        <f>_xlfn.TEXTAFTER(SalesRaw[[#This Row],[Email]],"@")</f>
        <v>examplemail.com</v>
      </c>
      <c r="Q3" s="7">
        <f>_xlfn.NUMBERVALUE(SUBSTITUTE(SUBSTITUTE(SalesRaw[[#This Row],[UnitPrice]],"£",""),",",""))</f>
        <v>899.99</v>
      </c>
      <c r="R3" s="7">
        <f>_xlfn.NUMBERVALUE(SUBSTITUTE(SUBSTITUTE(SalesRaw[[#This Row],[Revenue]],"£",""),",",""))</f>
        <v>1799.98</v>
      </c>
      <c r="S3" s="9">
        <f>IF(ISNUMBER(SalesRaw[[#This Row],[OrderDate]]),SalesRaw[[#This Row],[OrderDate]],DATEVALUE(SalesRaw[[#This Row],[OrderDate]]))</f>
        <v>45948</v>
      </c>
      <c r="T3" t="str">
        <f>PROPER(TRIM(SalesRaw[[#This Row],[PaymentMethod]]))</f>
        <v>Card</v>
      </c>
      <c r="U3" t="str">
        <f>TEXT(S3,"mmmm")</f>
        <v>October</v>
      </c>
      <c r="V3" t="str">
        <f>TEXT(S3,"dddd")</f>
        <v>Saturday</v>
      </c>
      <c r="Z3" s="4" t="s">
        <v>352</v>
      </c>
    </row>
    <row r="4" spans="1:26" ht="14.5" x14ac:dyDescent="0.35">
      <c r="A4" s="1">
        <v>100095</v>
      </c>
      <c r="B4" s="2">
        <v>45955</v>
      </c>
      <c r="C4" s="1" t="s">
        <v>264</v>
      </c>
      <c r="D4" s="1" t="s">
        <v>265</v>
      </c>
      <c r="E4" s="1" t="s">
        <v>60</v>
      </c>
      <c r="F4" s="1" t="s">
        <v>61</v>
      </c>
      <c r="G4" s="1" t="s">
        <v>53</v>
      </c>
      <c r="H4" s="1" t="s">
        <v>17</v>
      </c>
      <c r="I4" s="1">
        <v>2</v>
      </c>
      <c r="J4" s="1">
        <v>899.99</v>
      </c>
      <c r="K4" s="1">
        <v>1799.98</v>
      </c>
      <c r="L4" s="1" t="s">
        <v>54</v>
      </c>
      <c r="M4" t="str">
        <f>PROPER(TRIM(SalesRaw[[#This Row],[City]]))</f>
        <v>Edinburgh</v>
      </c>
      <c r="N4" t="str">
        <f>_xlfn.TEXTBEFORE(SalesRaw[[#This Row],[CustomerName]]," ")</f>
        <v>Maya</v>
      </c>
      <c r="O4" t="str">
        <f>_xlfn.TEXTAFTER(SalesRaw[[#This Row],[CustomerName]]," ")</f>
        <v>Khan</v>
      </c>
      <c r="P4" t="str">
        <f>_xlfn.TEXTAFTER(SalesRaw[[#This Row],[Email]],"@")</f>
        <v>examplemail.com</v>
      </c>
      <c r="Q4" s="7">
        <f>_xlfn.NUMBERVALUE(SUBSTITUTE(SUBSTITUTE(SalesRaw[[#This Row],[UnitPrice]],"£",""),",",""))</f>
        <v>899.99</v>
      </c>
      <c r="R4" s="7">
        <f>_xlfn.NUMBERVALUE(SUBSTITUTE(SUBSTITUTE(SalesRaw[[#This Row],[Revenue]],"£",""),",",""))</f>
        <v>1799.98</v>
      </c>
      <c r="S4" s="9">
        <f>IF(ISNUMBER(SalesRaw[[#This Row],[OrderDate]]),SalesRaw[[#This Row],[OrderDate]],DATEVALUE(SalesRaw[[#This Row],[OrderDate]]))</f>
        <v>45955</v>
      </c>
      <c r="T4" t="str">
        <f>PROPER(TRIM(SalesRaw[[#This Row],[PaymentMethod]]))</f>
        <v>Bank Transfer</v>
      </c>
      <c r="U4" t="str">
        <f>TEXT(S4,"mmmm")</f>
        <v>October</v>
      </c>
      <c r="V4" t="str">
        <f>TEXT(S4,"dddd")</f>
        <v>Saturday</v>
      </c>
      <c r="Z4" s="4" t="s">
        <v>353</v>
      </c>
    </row>
    <row r="5" spans="1:26" ht="14.5" x14ac:dyDescent="0.35">
      <c r="A5" s="1">
        <v>100119</v>
      </c>
      <c r="B5" s="2">
        <v>45927</v>
      </c>
      <c r="C5" s="1" t="s">
        <v>309</v>
      </c>
      <c r="D5" s="1" t="s">
        <v>310</v>
      </c>
      <c r="E5" s="1" t="s">
        <v>81</v>
      </c>
      <c r="F5" s="1" t="s">
        <v>22</v>
      </c>
      <c r="G5" s="1" t="s">
        <v>53</v>
      </c>
      <c r="H5" s="1" t="s">
        <v>17</v>
      </c>
      <c r="I5" s="1">
        <v>2</v>
      </c>
      <c r="J5" s="1">
        <v>899.99</v>
      </c>
      <c r="K5" s="1">
        <v>1799.98</v>
      </c>
      <c r="L5" s="1" t="s">
        <v>43</v>
      </c>
      <c r="M5" t="str">
        <f>PROPER(TRIM(SalesRaw[[#This Row],[City]]))</f>
        <v>Liverpool</v>
      </c>
      <c r="N5" t="str">
        <f>_xlfn.TEXTBEFORE(SalesRaw[[#This Row],[CustomerName]]," ")</f>
        <v>Quinn</v>
      </c>
      <c r="O5" t="str">
        <f>_xlfn.TEXTAFTER(SalesRaw[[#This Row],[CustomerName]]," ")</f>
        <v>Vaughan</v>
      </c>
      <c r="P5" t="str">
        <f>_xlfn.TEXTAFTER(SalesRaw[[#This Row],[Email]],"@")</f>
        <v>examplemail.com</v>
      </c>
      <c r="Q5" s="7">
        <f>_xlfn.NUMBERVALUE(SUBSTITUTE(SUBSTITUTE(SalesRaw[[#This Row],[UnitPrice]],"£",""),",",""))</f>
        <v>899.99</v>
      </c>
      <c r="R5" s="7">
        <f>_xlfn.NUMBERVALUE(SUBSTITUTE(SUBSTITUTE(SalesRaw[[#This Row],[Revenue]],"£",""),",",""))</f>
        <v>1799.98</v>
      </c>
      <c r="S5" s="9">
        <f>IF(ISNUMBER(SalesRaw[[#This Row],[OrderDate]]),SalesRaw[[#This Row],[OrderDate]],DATEVALUE(SalesRaw[[#This Row],[OrderDate]]))</f>
        <v>45927</v>
      </c>
      <c r="T5" t="str">
        <f>PROPER(TRIM(SalesRaw[[#This Row],[PaymentMethod]]))</f>
        <v>Cash</v>
      </c>
      <c r="U5" t="str">
        <f>TEXT(S5,"mmmm")</f>
        <v>September</v>
      </c>
      <c r="V5" t="str">
        <f>TEXT(S5,"dddd")</f>
        <v>Saturday</v>
      </c>
      <c r="Z5" s="4" t="s">
        <v>355</v>
      </c>
    </row>
    <row r="6" spans="1:26" ht="14.5" x14ac:dyDescent="0.35">
      <c r="A6" s="1">
        <v>100003</v>
      </c>
      <c r="B6" s="2">
        <v>45968</v>
      </c>
      <c r="C6" s="1" t="s">
        <v>32</v>
      </c>
      <c r="D6" s="1" t="s">
        <v>33</v>
      </c>
      <c r="E6" s="1" t="s">
        <v>34</v>
      </c>
      <c r="F6" s="1" t="s">
        <v>15</v>
      </c>
      <c r="G6" s="1" t="s">
        <v>29</v>
      </c>
      <c r="H6" s="1" t="s">
        <v>30</v>
      </c>
      <c r="I6" s="1">
        <v>3</v>
      </c>
      <c r="J6" s="1">
        <v>499.99</v>
      </c>
      <c r="K6" s="1">
        <v>1499.97</v>
      </c>
      <c r="L6" s="1" t="s">
        <v>31</v>
      </c>
      <c r="M6" t="str">
        <f>PROPER(TRIM(SalesRaw[[#This Row],[City]]))</f>
        <v>Leeds</v>
      </c>
      <c r="N6" t="str">
        <f>_xlfn.TEXTBEFORE(SalesRaw[[#This Row],[CustomerName]]," ")</f>
        <v>Noah</v>
      </c>
      <c r="O6" t="str">
        <f>_xlfn.TEXTAFTER(SalesRaw[[#This Row],[CustomerName]]," ")</f>
        <v>Chen</v>
      </c>
      <c r="P6" t="str">
        <f>_xlfn.TEXTAFTER(SalesRaw[[#This Row],[Email]],"@")</f>
        <v>examplemail.com</v>
      </c>
      <c r="Q6" s="7">
        <f>_xlfn.NUMBERVALUE(SUBSTITUTE(SUBSTITUTE(SalesRaw[[#This Row],[UnitPrice]],"£",""),",",""))</f>
        <v>499.99</v>
      </c>
      <c r="R6" s="7">
        <f>_xlfn.NUMBERVALUE(SUBSTITUTE(SUBSTITUTE(SalesRaw[[#This Row],[Revenue]],"£",""),",",""))</f>
        <v>1499.97</v>
      </c>
      <c r="S6" s="9">
        <f>IF(ISNUMBER(SalesRaw[[#This Row],[OrderDate]]),SalesRaw[[#This Row],[OrderDate]],DATEVALUE(SalesRaw[[#This Row],[OrderDate]]))</f>
        <v>45968</v>
      </c>
      <c r="T6" t="str">
        <f>PROPER(TRIM(SalesRaw[[#This Row],[PaymentMethod]]))</f>
        <v>Paypal</v>
      </c>
      <c r="U6" t="str">
        <f>TEXT(S6,"mmmm")</f>
        <v>November</v>
      </c>
      <c r="V6" t="str">
        <f>TEXT(S6,"dddd")</f>
        <v>Friday</v>
      </c>
      <c r="Z6" s="4" t="s">
        <v>356</v>
      </c>
    </row>
    <row r="7" spans="1:26" ht="14.5" x14ac:dyDescent="0.35">
      <c r="A7" s="1">
        <v>100048</v>
      </c>
      <c r="B7" s="2">
        <v>45932</v>
      </c>
      <c r="C7" s="1" t="s">
        <v>166</v>
      </c>
      <c r="D7" s="1" t="s">
        <v>167</v>
      </c>
      <c r="E7" s="1" t="s">
        <v>81</v>
      </c>
      <c r="F7" s="1" t="s">
        <v>22</v>
      </c>
      <c r="G7" s="1" t="s">
        <v>16</v>
      </c>
      <c r="H7" s="1" t="s">
        <v>17</v>
      </c>
      <c r="I7" s="1">
        <v>3</v>
      </c>
      <c r="J7" s="1">
        <v>499.99</v>
      </c>
      <c r="K7" s="1" t="s">
        <v>168</v>
      </c>
      <c r="L7" s="1" t="s">
        <v>18</v>
      </c>
      <c r="M7" t="str">
        <f>PROPER(TRIM(SalesRaw[[#This Row],[City]]))</f>
        <v>Liverpool</v>
      </c>
      <c r="N7" t="str">
        <f>_xlfn.TEXTBEFORE(SalesRaw[[#This Row],[CustomerName]]," ")</f>
        <v>Yasmin</v>
      </c>
      <c r="O7" t="str">
        <f>_xlfn.TEXTAFTER(SalesRaw[[#This Row],[CustomerName]]," ")</f>
        <v>Quinn</v>
      </c>
      <c r="P7" t="str">
        <f>_xlfn.TEXTAFTER(SalesRaw[[#This Row],[Email]],"@")</f>
        <v>examplemail.com</v>
      </c>
      <c r="Q7" s="7">
        <f>_xlfn.NUMBERVALUE(SUBSTITUTE(SUBSTITUTE(SalesRaw[[#This Row],[UnitPrice]],"£",""),",",""))</f>
        <v>499.99</v>
      </c>
      <c r="R7" s="7">
        <f>_xlfn.NUMBERVALUE(SUBSTITUTE(SUBSTITUTE(SalesRaw[[#This Row],[Revenue]],"£",""),",",""))</f>
        <v>1499.97</v>
      </c>
      <c r="S7" s="9">
        <f>IF(ISNUMBER(SalesRaw[[#This Row],[OrderDate]]),SalesRaw[[#This Row],[OrderDate]],DATEVALUE(SalesRaw[[#This Row],[OrderDate]]))</f>
        <v>45932</v>
      </c>
      <c r="T7" t="str">
        <f>PROPER(TRIM(SalesRaw[[#This Row],[PaymentMethod]]))</f>
        <v>Card</v>
      </c>
      <c r="U7" t="str">
        <f>TEXT(S7,"mmmm")</f>
        <v>October</v>
      </c>
      <c r="V7" t="str">
        <f>TEXT(S7,"dddd")</f>
        <v>Thursday</v>
      </c>
    </row>
    <row r="8" spans="1:26" ht="14.5" x14ac:dyDescent="0.35">
      <c r="A8" s="1">
        <v>100081</v>
      </c>
      <c r="B8" s="2">
        <v>45913</v>
      </c>
      <c r="C8" s="1" t="s">
        <v>232</v>
      </c>
      <c r="D8" s="1" t="s">
        <v>233</v>
      </c>
      <c r="E8" s="1" t="s">
        <v>65</v>
      </c>
      <c r="F8" s="1" t="s">
        <v>234</v>
      </c>
      <c r="G8" s="1" t="s">
        <v>82</v>
      </c>
      <c r="H8" s="1" t="s">
        <v>83</v>
      </c>
      <c r="I8" s="1">
        <v>3</v>
      </c>
      <c r="J8" s="1">
        <v>499.99</v>
      </c>
      <c r="K8" s="1" t="s">
        <v>168</v>
      </c>
      <c r="L8" s="1" t="s">
        <v>43</v>
      </c>
      <c r="M8" t="str">
        <f>PROPER(TRIM(SalesRaw[[#This Row],[City]]))</f>
        <v>Cardiff</v>
      </c>
      <c r="N8" t="str">
        <f>_xlfn.TEXTBEFORE(SalesRaw[[#This Row],[CustomerName]]," ")</f>
        <v>Olivia</v>
      </c>
      <c r="O8" t="str">
        <f>_xlfn.TEXTAFTER(SalesRaw[[#This Row],[CustomerName]]," ")</f>
        <v>Khan</v>
      </c>
      <c r="P8" t="str">
        <f>_xlfn.TEXTAFTER(SalesRaw[[#This Row],[Email]],"@")</f>
        <v>examplemail.com</v>
      </c>
      <c r="Q8" s="7">
        <f>_xlfn.NUMBERVALUE(SUBSTITUTE(SUBSTITUTE(SalesRaw[[#This Row],[UnitPrice]],"£",""),",",""))</f>
        <v>499.99</v>
      </c>
      <c r="R8" s="7">
        <f>_xlfn.NUMBERVALUE(SUBSTITUTE(SUBSTITUTE(SalesRaw[[#This Row],[Revenue]],"£",""),",",""))</f>
        <v>1499.97</v>
      </c>
      <c r="S8" s="9">
        <f>IF(ISNUMBER(SalesRaw[[#This Row],[OrderDate]]),SalesRaw[[#This Row],[OrderDate]],DATEVALUE(SalesRaw[[#This Row],[OrderDate]]))</f>
        <v>45913</v>
      </c>
      <c r="T8" t="str">
        <f>PROPER(TRIM(SalesRaw[[#This Row],[PaymentMethod]]))</f>
        <v>Cash</v>
      </c>
      <c r="U8" t="str">
        <f>TEXT(S8,"mmmm")</f>
        <v>September</v>
      </c>
      <c r="V8" t="str">
        <f>TEXT(S8,"dddd")</f>
        <v>Saturday</v>
      </c>
    </row>
    <row r="9" spans="1:26" ht="14.5" x14ac:dyDescent="0.35">
      <c r="A9" s="1">
        <v>100132</v>
      </c>
      <c r="B9" s="2">
        <v>45977</v>
      </c>
      <c r="C9" s="1" t="s">
        <v>334</v>
      </c>
      <c r="D9" s="1" t="s">
        <v>335</v>
      </c>
      <c r="E9" s="1" t="s">
        <v>336</v>
      </c>
      <c r="F9" s="1" t="s">
        <v>61</v>
      </c>
      <c r="G9" s="1" t="s">
        <v>16</v>
      </c>
      <c r="H9" s="1" t="s">
        <v>17</v>
      </c>
      <c r="I9">
        <v>1</v>
      </c>
      <c r="J9" s="1" t="s">
        <v>25</v>
      </c>
      <c r="K9" s="1">
        <v>1499.97</v>
      </c>
      <c r="L9" s="1" t="s">
        <v>31</v>
      </c>
      <c r="M9" t="str">
        <f>PROPER(TRIM(SalesRaw[[#This Row],[City]]))</f>
        <v>Edinburgh</v>
      </c>
      <c r="N9" t="str">
        <f>_xlfn.TEXTBEFORE(SalesRaw[[#This Row],[CustomerName]]," ")</f>
        <v>Ben</v>
      </c>
      <c r="O9" t="str">
        <f>_xlfn.TEXTAFTER(SalesRaw[[#This Row],[CustomerName]]," ")</f>
        <v>Williams</v>
      </c>
      <c r="P9" t="str">
        <f>_xlfn.TEXTAFTER(SalesRaw[[#This Row],[Email]],"@")</f>
        <v>examplemail.com</v>
      </c>
      <c r="Q9" s="7">
        <f>_xlfn.NUMBERVALUE(SUBSTITUTE(SUBSTITUTE(SalesRaw[[#This Row],[UnitPrice]],"£",""),",",""))</f>
        <v>499.99</v>
      </c>
      <c r="R9" s="7">
        <f>_xlfn.NUMBERVALUE(SUBSTITUTE(SUBSTITUTE(SalesRaw[[#This Row],[Revenue]],"£",""),",",""))</f>
        <v>1499.97</v>
      </c>
      <c r="S9" s="9">
        <f>IF(ISNUMBER(SalesRaw[[#This Row],[OrderDate]]),SalesRaw[[#This Row],[OrderDate]],DATEVALUE(SalesRaw[[#This Row],[OrderDate]]))</f>
        <v>45977</v>
      </c>
      <c r="T9" t="str">
        <f>PROPER(TRIM(SalesRaw[[#This Row],[PaymentMethod]]))</f>
        <v>Paypal</v>
      </c>
      <c r="U9" t="str">
        <f>TEXT(S9,"mmmm")</f>
        <v>November</v>
      </c>
      <c r="V9" t="str">
        <f>TEXT(S9,"dddd")</f>
        <v>Sunday</v>
      </c>
    </row>
    <row r="10" spans="1:26" ht="14.5" x14ac:dyDescent="0.35">
      <c r="A10" s="1">
        <v>100022</v>
      </c>
      <c r="B10" s="2">
        <v>45920</v>
      </c>
      <c r="C10" s="1" t="s">
        <v>104</v>
      </c>
      <c r="D10" s="1" t="s">
        <v>105</v>
      </c>
      <c r="E10" s="1" t="s">
        <v>102</v>
      </c>
      <c r="F10" s="1" t="s">
        <v>103</v>
      </c>
      <c r="G10" s="1" t="s">
        <v>47</v>
      </c>
      <c r="H10" s="1" t="s">
        <v>24</v>
      </c>
      <c r="I10" s="1">
        <v>2</v>
      </c>
      <c r="J10" s="1">
        <v>499.99</v>
      </c>
      <c r="K10" s="1">
        <v>999.98</v>
      </c>
      <c r="L10" s="1" t="s">
        <v>31</v>
      </c>
      <c r="M10" t="str">
        <f>PROPER(TRIM(SalesRaw[[#This Row],[City]]))</f>
        <v>Nottingham</v>
      </c>
      <c r="N10" t="str">
        <f>_xlfn.TEXTBEFORE(SalesRaw[[#This Row],[CustomerName]]," ")</f>
        <v>Ben</v>
      </c>
      <c r="O10" t="str">
        <f>_xlfn.TEXTAFTER(SalesRaw[[#This Row],[CustomerName]]," ")</f>
        <v>Xu</v>
      </c>
      <c r="P10" t="str">
        <f>_xlfn.TEXTAFTER(SalesRaw[[#This Row],[Email]],"@")</f>
        <v>examplemail.com</v>
      </c>
      <c r="Q10" s="7">
        <f>_xlfn.NUMBERVALUE(SUBSTITUTE(SUBSTITUTE(SalesRaw[[#This Row],[UnitPrice]],"£",""),",",""))</f>
        <v>499.99</v>
      </c>
      <c r="R10" s="7">
        <f>_xlfn.NUMBERVALUE(SUBSTITUTE(SUBSTITUTE(SalesRaw[[#This Row],[Revenue]],"£",""),",",""))</f>
        <v>999.98</v>
      </c>
      <c r="S10" s="9">
        <f>IF(ISNUMBER(SalesRaw[[#This Row],[OrderDate]]),SalesRaw[[#This Row],[OrderDate]],DATEVALUE(SalesRaw[[#This Row],[OrderDate]]))</f>
        <v>45920</v>
      </c>
      <c r="T10" t="str">
        <f>PROPER(TRIM(SalesRaw[[#This Row],[PaymentMethod]]))</f>
        <v>Paypal</v>
      </c>
      <c r="U10" t="str">
        <f>TEXT(S10,"mmmm")</f>
        <v>September</v>
      </c>
      <c r="V10" t="str">
        <f>TEXT(S10,"dddd")</f>
        <v>Saturday</v>
      </c>
    </row>
    <row r="11" spans="1:26" ht="14.5" x14ac:dyDescent="0.35">
      <c r="A11" s="1">
        <v>100059</v>
      </c>
      <c r="B11" s="2">
        <v>45936</v>
      </c>
      <c r="C11" s="1" t="s">
        <v>189</v>
      </c>
      <c r="D11" s="1" t="s">
        <v>190</v>
      </c>
      <c r="E11" s="1" t="s">
        <v>96</v>
      </c>
      <c r="F11" s="1" t="s">
        <v>97</v>
      </c>
      <c r="G11" s="1" t="s">
        <v>70</v>
      </c>
      <c r="H11" s="1" t="s">
        <v>30</v>
      </c>
      <c r="I11" s="1">
        <v>2</v>
      </c>
      <c r="J11" s="1" t="s">
        <v>25</v>
      </c>
      <c r="K11" s="1">
        <v>999.98</v>
      </c>
      <c r="L11" s="1" t="s">
        <v>18</v>
      </c>
      <c r="M11" t="str">
        <f>PROPER(TRIM(SalesRaw[[#This Row],[City]]))</f>
        <v>Bristol</v>
      </c>
      <c r="N11" t="str">
        <f>_xlfn.TEXTBEFORE(SalesRaw[[#This Row],[CustomerName]]," ")</f>
        <v>Priya</v>
      </c>
      <c r="O11" t="str">
        <f>_xlfn.TEXTAFTER(SalesRaw[[#This Row],[CustomerName]]," ")</f>
        <v>Usman</v>
      </c>
      <c r="P11" t="str">
        <f>_xlfn.TEXTAFTER(SalesRaw[[#This Row],[Email]],"@")</f>
        <v>examplemail.com</v>
      </c>
      <c r="Q11" s="7">
        <f>_xlfn.NUMBERVALUE(SUBSTITUTE(SUBSTITUTE(SalesRaw[[#This Row],[UnitPrice]],"£",""),",",""))</f>
        <v>499.99</v>
      </c>
      <c r="R11" s="7">
        <f>_xlfn.NUMBERVALUE(SUBSTITUTE(SUBSTITUTE(SalesRaw[[#This Row],[Revenue]],"£",""),",",""))</f>
        <v>999.98</v>
      </c>
      <c r="S11" s="9">
        <f>IF(ISNUMBER(SalesRaw[[#This Row],[OrderDate]]),SalesRaw[[#This Row],[OrderDate]],DATEVALUE(SalesRaw[[#This Row],[OrderDate]]))</f>
        <v>45936</v>
      </c>
      <c r="T11" t="str">
        <f>PROPER(TRIM(SalesRaw[[#This Row],[PaymentMethod]]))</f>
        <v>Card</v>
      </c>
      <c r="U11" t="str">
        <f>TEXT(S11,"mmmm")</f>
        <v>October</v>
      </c>
      <c r="V11" t="str">
        <f>TEXT(S11,"dddd")</f>
        <v>Monday</v>
      </c>
    </row>
    <row r="12" spans="1:26" ht="14.5" x14ac:dyDescent="0.35">
      <c r="A12" s="1">
        <v>100088</v>
      </c>
      <c r="B12" s="2">
        <v>45916</v>
      </c>
      <c r="C12" s="1" t="s">
        <v>247</v>
      </c>
      <c r="D12" s="1" t="s">
        <v>248</v>
      </c>
      <c r="E12" t="s">
        <v>357</v>
      </c>
      <c r="F12" s="1" t="s">
        <v>138</v>
      </c>
      <c r="G12" s="1" t="s">
        <v>23</v>
      </c>
      <c r="H12" s="1" t="s">
        <v>24</v>
      </c>
      <c r="I12" s="1">
        <v>2</v>
      </c>
      <c r="J12" s="1">
        <v>499.99</v>
      </c>
      <c r="K12" s="1">
        <v>999.98</v>
      </c>
      <c r="L12" s="1" t="s">
        <v>43</v>
      </c>
      <c r="M12" t="str">
        <f>PROPER(TRIM(SalesRaw[[#This Row],[City]]))</f>
        <v>Unknown</v>
      </c>
      <c r="N12" t="str">
        <f>_xlfn.TEXTBEFORE(SalesRaw[[#This Row],[CustomerName]]," ")</f>
        <v>Wendy</v>
      </c>
      <c r="O12" t="str">
        <f>_xlfn.TEXTAFTER(SalesRaw[[#This Row],[CustomerName]]," ")</f>
        <v>Usman</v>
      </c>
      <c r="P12" t="str">
        <f>_xlfn.TEXTAFTER(SalesRaw[[#This Row],[Email]],"@")</f>
        <v>examplemail.com</v>
      </c>
      <c r="Q12" s="7">
        <f>_xlfn.NUMBERVALUE(SUBSTITUTE(SUBSTITUTE(SalesRaw[[#This Row],[UnitPrice]],"£",""),",",""))</f>
        <v>499.99</v>
      </c>
      <c r="R12" s="7">
        <f>_xlfn.NUMBERVALUE(SUBSTITUTE(SUBSTITUTE(SalesRaw[[#This Row],[Revenue]],"£",""),",",""))</f>
        <v>999.98</v>
      </c>
      <c r="S12" s="9">
        <f>IF(ISNUMBER(SalesRaw[[#This Row],[OrderDate]]),SalesRaw[[#This Row],[OrderDate]],DATEVALUE(SalesRaw[[#This Row],[OrderDate]]))</f>
        <v>45916</v>
      </c>
      <c r="T12" t="str">
        <f>PROPER(TRIM(SalesRaw[[#This Row],[PaymentMethod]]))</f>
        <v>Cash</v>
      </c>
      <c r="U12" t="str">
        <f>TEXT(S12,"mmmm")</f>
        <v>September</v>
      </c>
      <c r="V12" t="str">
        <f>TEXT(S12,"dddd")</f>
        <v>Tuesday</v>
      </c>
    </row>
    <row r="13" spans="1:26" ht="14.5" x14ac:dyDescent="0.35">
      <c r="A13" s="1">
        <v>100006</v>
      </c>
      <c r="B13" s="2">
        <v>45958</v>
      </c>
      <c r="C13" s="1" t="s">
        <v>44</v>
      </c>
      <c r="D13" s="1" t="s">
        <v>45</v>
      </c>
      <c r="E13" t="s">
        <v>357</v>
      </c>
      <c r="F13" s="1" t="s">
        <v>46</v>
      </c>
      <c r="G13" s="1" t="s">
        <v>47</v>
      </c>
      <c r="H13" s="1" t="s">
        <v>24</v>
      </c>
      <c r="I13" s="1">
        <v>1</v>
      </c>
      <c r="J13" s="1">
        <v>899.99</v>
      </c>
      <c r="K13" s="1" t="s">
        <v>48</v>
      </c>
      <c r="L13" s="1" t="s">
        <v>49</v>
      </c>
      <c r="M13" t="str">
        <f>PROPER(TRIM(SalesRaw[[#This Row],[City]]))</f>
        <v>Unknown</v>
      </c>
      <c r="N13" t="str">
        <f>_xlfn.TEXTBEFORE(SalesRaw[[#This Row],[CustomerName]]," ")</f>
        <v>Ben</v>
      </c>
      <c r="O13" t="str">
        <f>_xlfn.TEXTAFTER(SalesRaw[[#This Row],[CustomerName]]," ")</f>
        <v>Roberts</v>
      </c>
      <c r="P13" t="str">
        <f>_xlfn.TEXTAFTER(SalesRaw[[#This Row],[Email]],"@")</f>
        <v>examplemail.com</v>
      </c>
      <c r="Q13" s="7">
        <f>_xlfn.NUMBERVALUE(SUBSTITUTE(SUBSTITUTE(SalesRaw[[#This Row],[UnitPrice]],"£",""),",",""))</f>
        <v>899.99</v>
      </c>
      <c r="R13" s="7">
        <f>_xlfn.NUMBERVALUE(SUBSTITUTE(SUBSTITUTE(SalesRaw[[#This Row],[Revenue]],"£",""),",",""))</f>
        <v>899.99</v>
      </c>
      <c r="S13" s="9">
        <f>IF(ISNUMBER(SalesRaw[[#This Row],[OrderDate]]),SalesRaw[[#This Row],[OrderDate]],DATEVALUE(SalesRaw[[#This Row],[OrderDate]]))</f>
        <v>45958</v>
      </c>
      <c r="T13" t="str">
        <f>PROPER(TRIM(SalesRaw[[#This Row],[PaymentMethod]]))</f>
        <v>Paypal</v>
      </c>
      <c r="U13" t="str">
        <f>TEXT(S13,"mmmm")</f>
        <v>October</v>
      </c>
      <c r="V13" t="str">
        <f>TEXT(S13,"dddd")</f>
        <v>Tuesday</v>
      </c>
    </row>
    <row r="14" spans="1:26" ht="14.5" x14ac:dyDescent="0.35">
      <c r="A14" s="1">
        <v>100012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61</v>
      </c>
      <c r="G14" s="1" t="s">
        <v>23</v>
      </c>
      <c r="H14" s="1" t="s">
        <v>24</v>
      </c>
      <c r="I14" s="1" t="s">
        <v>75</v>
      </c>
      <c r="J14" s="1" t="s">
        <v>48</v>
      </c>
      <c r="K14" s="1">
        <v>899.99</v>
      </c>
      <c r="L14" s="1" t="s">
        <v>54</v>
      </c>
      <c r="M14" t="str">
        <f>PROPER(TRIM(SalesRaw[[#This Row],[City]]))</f>
        <v>Glasgow</v>
      </c>
      <c r="N14" t="str">
        <f>_xlfn.TEXTBEFORE(SalesRaw[[#This Row],[CustomerName]]," ")</f>
        <v>Olivia</v>
      </c>
      <c r="O14" t="str">
        <f>_xlfn.TEXTAFTER(SalesRaw[[#This Row],[CustomerName]]," ")</f>
        <v>Singh</v>
      </c>
      <c r="P14" t="str">
        <f>_xlfn.TEXTAFTER(SalesRaw[[#This Row],[Email]],"@")</f>
        <v>examplemail.com</v>
      </c>
      <c r="Q14" s="7">
        <f>_xlfn.NUMBERVALUE(SUBSTITUTE(SUBSTITUTE(SalesRaw[[#This Row],[UnitPrice]],"£",""),",",""))</f>
        <v>899.99</v>
      </c>
      <c r="R14" s="7">
        <f>_xlfn.NUMBERVALUE(SUBSTITUTE(SUBSTITUTE(SalesRaw[[#This Row],[Revenue]],"£",""),",",""))</f>
        <v>899.99</v>
      </c>
      <c r="S14" s="9">
        <f>IF(ISNUMBER(SalesRaw[[#This Row],[OrderDate]]),SalesRaw[[#This Row],[OrderDate]],DATEVALUE(SalesRaw[[#This Row],[OrderDate]]))</f>
        <v>45909</v>
      </c>
      <c r="T14" t="str">
        <f>PROPER(TRIM(SalesRaw[[#This Row],[PaymentMethod]]))</f>
        <v>Bank Transfer</v>
      </c>
      <c r="U14" t="str">
        <f>TEXT(S14,"mmmm")</f>
        <v>September</v>
      </c>
      <c r="V14" t="str">
        <f>TEXT(S14,"dddd")</f>
        <v>Tuesday</v>
      </c>
    </row>
    <row r="15" spans="1:26" ht="14.5" x14ac:dyDescent="0.35">
      <c r="A15" s="1">
        <v>100015</v>
      </c>
      <c r="B15" s="1" t="s">
        <v>84</v>
      </c>
      <c r="C15" s="1" t="s">
        <v>85</v>
      </c>
      <c r="D15" s="1" t="s">
        <v>86</v>
      </c>
      <c r="E15" s="1" t="s">
        <v>74</v>
      </c>
      <c r="F15" s="1" t="s">
        <v>61</v>
      </c>
      <c r="G15" s="1" t="s">
        <v>47</v>
      </c>
      <c r="H15" s="1" t="s">
        <v>24</v>
      </c>
      <c r="I15" s="1">
        <v>1</v>
      </c>
      <c r="J15" s="1">
        <v>899.99</v>
      </c>
      <c r="K15" s="1" t="s">
        <v>48</v>
      </c>
      <c r="L15" s="1" t="s">
        <v>18</v>
      </c>
      <c r="M15" t="str">
        <f>PROPER(TRIM(SalesRaw[[#This Row],[City]]))</f>
        <v>Glasgow</v>
      </c>
      <c r="N15" t="str">
        <f>_xlfn.TEXTBEFORE(SalesRaw[[#This Row],[CustomerName]]," ")</f>
        <v>Kemi</v>
      </c>
      <c r="O15" t="str">
        <f>_xlfn.TEXTAFTER(SalesRaw[[#This Row],[CustomerName]]," ")</f>
        <v>Xu</v>
      </c>
      <c r="P15" t="str">
        <f>_xlfn.TEXTAFTER(SalesRaw[[#This Row],[Email]],"@")</f>
        <v>examplemail.com</v>
      </c>
      <c r="Q15" s="7">
        <f>_xlfn.NUMBERVALUE(SUBSTITUTE(SUBSTITUTE(SalesRaw[[#This Row],[UnitPrice]],"£",""),",",""))</f>
        <v>899.99</v>
      </c>
      <c r="R15" s="7">
        <f>_xlfn.NUMBERVALUE(SUBSTITUTE(SUBSTITUTE(SalesRaw[[#This Row],[Revenue]],"£",""),",",""))</f>
        <v>899.99</v>
      </c>
      <c r="S15" s="9">
        <f>IF(ISNUMBER(SalesRaw[[#This Row],[OrderDate]]),SalesRaw[[#This Row],[OrderDate]],DATEVALUE(SalesRaw[[#This Row],[OrderDate]]))</f>
        <v>45949</v>
      </c>
      <c r="T15" t="str">
        <f>PROPER(TRIM(SalesRaw[[#This Row],[PaymentMethod]]))</f>
        <v>Card</v>
      </c>
      <c r="U15" t="str">
        <f>TEXT(S15,"mmmm")</f>
        <v>October</v>
      </c>
      <c r="V15" t="str">
        <f>TEXT(S15,"dddd")</f>
        <v>Sunday</v>
      </c>
    </row>
    <row r="16" spans="1:26" ht="14.5" x14ac:dyDescent="0.35">
      <c r="A16" s="1">
        <v>100028</v>
      </c>
      <c r="B16" s="2">
        <v>45925</v>
      </c>
      <c r="C16" s="1" t="s">
        <v>120</v>
      </c>
      <c r="D16" s="1" t="s">
        <v>121</v>
      </c>
      <c r="E16" s="1" t="s">
        <v>57</v>
      </c>
      <c r="F16" s="1" t="s">
        <v>46</v>
      </c>
      <c r="G16" s="1" t="s">
        <v>122</v>
      </c>
      <c r="H16" s="1" t="s">
        <v>30</v>
      </c>
      <c r="I16" s="1">
        <v>1</v>
      </c>
      <c r="J16" s="1">
        <v>899.99</v>
      </c>
      <c r="K16" s="1">
        <v>899.99</v>
      </c>
      <c r="L16" s="1" t="s">
        <v>49</v>
      </c>
      <c r="M16" t="str">
        <f>PROPER(TRIM(SalesRaw[[#This Row],[City]]))</f>
        <v>Birmingham</v>
      </c>
      <c r="N16" t="str">
        <f>_xlfn.TEXTBEFORE(SalesRaw[[#This Row],[CustomerName]]," ")</f>
        <v>Ravi</v>
      </c>
      <c r="O16" t="str">
        <f>_xlfn.TEXTAFTER(SalesRaw[[#This Row],[CustomerName]]," ")</f>
        <v>Iqbal</v>
      </c>
      <c r="P16" t="str">
        <f>_xlfn.TEXTAFTER(SalesRaw[[#This Row],[Email]],"@")</f>
        <v>examplemail.com</v>
      </c>
      <c r="Q16" s="7">
        <f>_xlfn.NUMBERVALUE(SUBSTITUTE(SUBSTITUTE(SalesRaw[[#This Row],[UnitPrice]],"£",""),",",""))</f>
        <v>899.99</v>
      </c>
      <c r="R16" s="7">
        <f>_xlfn.NUMBERVALUE(SUBSTITUTE(SUBSTITUTE(SalesRaw[[#This Row],[Revenue]],"£",""),",",""))</f>
        <v>899.99</v>
      </c>
      <c r="S16" s="9">
        <f>IF(ISNUMBER(SalesRaw[[#This Row],[OrderDate]]),SalesRaw[[#This Row],[OrderDate]],DATEVALUE(SalesRaw[[#This Row],[OrderDate]]))</f>
        <v>45925</v>
      </c>
      <c r="T16" t="str">
        <f>PROPER(TRIM(SalesRaw[[#This Row],[PaymentMethod]]))</f>
        <v>Paypal</v>
      </c>
      <c r="U16" t="str">
        <f>TEXT(S16,"mmmm")</f>
        <v>September</v>
      </c>
      <c r="V16" t="str">
        <f>TEXT(S16,"dddd")</f>
        <v>Thursday</v>
      </c>
    </row>
    <row r="17" spans="1:22" ht="14.5" x14ac:dyDescent="0.35">
      <c r="A17" s="1">
        <v>100031</v>
      </c>
      <c r="B17" s="2">
        <v>45962</v>
      </c>
      <c r="C17" s="1" t="s">
        <v>126</v>
      </c>
      <c r="D17" s="1" t="s">
        <v>127</v>
      </c>
      <c r="E17" s="1" t="s">
        <v>34</v>
      </c>
      <c r="F17" s="1" t="s">
        <v>15</v>
      </c>
      <c r="G17" s="1" t="s">
        <v>16</v>
      </c>
      <c r="H17" s="1" t="s">
        <v>17</v>
      </c>
      <c r="I17" s="1">
        <v>1</v>
      </c>
      <c r="J17" s="1">
        <v>899.99</v>
      </c>
      <c r="K17" s="1" t="s">
        <v>48</v>
      </c>
      <c r="L17" s="1" t="s">
        <v>43</v>
      </c>
      <c r="M17" t="str">
        <f>PROPER(TRIM(SalesRaw[[#This Row],[City]]))</f>
        <v>Leeds</v>
      </c>
      <c r="N17" t="str">
        <f>_xlfn.TEXTBEFORE(SalesRaw[[#This Row],[CustomerName]]," ")</f>
        <v>Fatima</v>
      </c>
      <c r="O17" t="str">
        <f>_xlfn.TEXTAFTER(SalesRaw[[#This Row],[CustomerName]]," ")</f>
        <v>Evans</v>
      </c>
      <c r="P17" t="str">
        <f>_xlfn.TEXTAFTER(SalesRaw[[#This Row],[Email]],"@")</f>
        <v>examplemail.com</v>
      </c>
      <c r="Q17" s="7">
        <f>_xlfn.NUMBERVALUE(SUBSTITUTE(SUBSTITUTE(SalesRaw[[#This Row],[UnitPrice]],"£",""),",",""))</f>
        <v>899.99</v>
      </c>
      <c r="R17" s="7">
        <f>_xlfn.NUMBERVALUE(SUBSTITUTE(SUBSTITUTE(SalesRaw[[#This Row],[Revenue]],"£",""),",",""))</f>
        <v>899.99</v>
      </c>
      <c r="S17" s="9">
        <f>IF(ISNUMBER(SalesRaw[[#This Row],[OrderDate]]),SalesRaw[[#This Row],[OrderDate]],DATEVALUE(SalesRaw[[#This Row],[OrderDate]]))</f>
        <v>45962</v>
      </c>
      <c r="T17" t="str">
        <f>PROPER(TRIM(SalesRaw[[#This Row],[PaymentMethod]]))</f>
        <v>Cash</v>
      </c>
      <c r="U17" t="str">
        <f>TEXT(S17,"mmmm")</f>
        <v>November</v>
      </c>
      <c r="V17" t="str">
        <f>TEXT(S17,"dddd")</f>
        <v>Saturday</v>
      </c>
    </row>
    <row r="18" spans="1:22" ht="14.5" x14ac:dyDescent="0.35">
      <c r="A18" s="1">
        <v>100062</v>
      </c>
      <c r="B18" s="2">
        <v>45928</v>
      </c>
      <c r="C18" s="1" t="s">
        <v>196</v>
      </c>
      <c r="D18" s="1" t="s">
        <v>197</v>
      </c>
      <c r="E18" s="1" t="s">
        <v>102</v>
      </c>
      <c r="F18" s="1" t="s">
        <v>103</v>
      </c>
      <c r="G18" s="1" t="s">
        <v>116</v>
      </c>
      <c r="H18" s="1" t="s">
        <v>83</v>
      </c>
      <c r="I18" s="1">
        <v>1</v>
      </c>
      <c r="J18" s="1">
        <v>899.99</v>
      </c>
      <c r="K18" s="1">
        <v>899.99</v>
      </c>
      <c r="L18" s="1" t="s">
        <v>31</v>
      </c>
      <c r="M18" t="str">
        <f>PROPER(TRIM(SalesRaw[[#This Row],[City]]))</f>
        <v>Nottingham</v>
      </c>
      <c r="N18" t="str">
        <f>_xlfn.TEXTBEFORE(SalesRaw[[#This Row],[CustomerName]]," ")</f>
        <v>Chloe</v>
      </c>
      <c r="O18" t="str">
        <f>_xlfn.TEXTAFTER(SalesRaw[[#This Row],[CustomerName]]," ")</f>
        <v>Zimmerman</v>
      </c>
      <c r="P18" t="str">
        <f>_xlfn.TEXTAFTER(SalesRaw[[#This Row],[Email]],"@")</f>
        <v>examplemail.com</v>
      </c>
      <c r="Q18" s="7">
        <f>_xlfn.NUMBERVALUE(SUBSTITUTE(SUBSTITUTE(SalesRaw[[#This Row],[UnitPrice]],"£",""),",",""))</f>
        <v>899.99</v>
      </c>
      <c r="R18" s="7">
        <f>_xlfn.NUMBERVALUE(SUBSTITUTE(SUBSTITUTE(SalesRaw[[#This Row],[Revenue]],"£",""),",",""))</f>
        <v>899.99</v>
      </c>
      <c r="S18" s="9">
        <f>IF(ISNUMBER(SalesRaw[[#This Row],[OrderDate]]),SalesRaw[[#This Row],[OrderDate]],DATEVALUE(SalesRaw[[#This Row],[OrderDate]]))</f>
        <v>45928</v>
      </c>
      <c r="T18" t="str">
        <f>PROPER(TRIM(SalesRaw[[#This Row],[PaymentMethod]]))</f>
        <v>Paypal</v>
      </c>
      <c r="U18" t="str">
        <f>TEXT(S18,"mmmm")</f>
        <v>September</v>
      </c>
      <c r="V18" t="str">
        <f>TEXT(S18,"dddd")</f>
        <v>Sunday</v>
      </c>
    </row>
    <row r="19" spans="1:22" ht="14.5" x14ac:dyDescent="0.35">
      <c r="A19" s="1">
        <v>100112</v>
      </c>
      <c r="B19" s="2">
        <v>45945</v>
      </c>
      <c r="C19" s="1" t="s">
        <v>295</v>
      </c>
      <c r="D19" s="1" t="s">
        <v>296</v>
      </c>
      <c r="E19" s="1" t="s">
        <v>34</v>
      </c>
      <c r="F19" s="1" t="s">
        <v>15</v>
      </c>
      <c r="G19" s="1" t="s">
        <v>119</v>
      </c>
      <c r="H19" s="1" t="s">
        <v>30</v>
      </c>
      <c r="I19" s="1">
        <v>1</v>
      </c>
      <c r="J19" s="1">
        <v>899.99</v>
      </c>
      <c r="K19" s="1">
        <v>899.99</v>
      </c>
      <c r="L19" s="1" t="s">
        <v>18</v>
      </c>
      <c r="M19" t="str">
        <f>PROPER(TRIM(SalesRaw[[#This Row],[City]]))</f>
        <v>Leeds</v>
      </c>
      <c r="N19" t="str">
        <f>_xlfn.TEXTBEFORE(SalesRaw[[#This Row],[CustomerName]]," ")</f>
        <v>Quinn</v>
      </c>
      <c r="O19" t="str">
        <f>_xlfn.TEXTAFTER(SalesRaw[[#This Row],[CustomerName]]," ")</f>
        <v>Patel</v>
      </c>
      <c r="P19" t="str">
        <f>_xlfn.TEXTAFTER(SalesRaw[[#This Row],[Email]],"@")</f>
        <v>examplemail.com</v>
      </c>
      <c r="Q19" s="7">
        <f>_xlfn.NUMBERVALUE(SUBSTITUTE(SUBSTITUTE(SalesRaw[[#This Row],[UnitPrice]],"£",""),",",""))</f>
        <v>899.99</v>
      </c>
      <c r="R19" s="7">
        <f>_xlfn.NUMBERVALUE(SUBSTITUTE(SUBSTITUTE(SalesRaw[[#This Row],[Revenue]],"£",""),",",""))</f>
        <v>899.99</v>
      </c>
      <c r="S19" s="9">
        <f>IF(ISNUMBER(SalesRaw[[#This Row],[OrderDate]]),SalesRaw[[#This Row],[OrderDate]],DATEVALUE(SalesRaw[[#This Row],[OrderDate]]))</f>
        <v>45945</v>
      </c>
      <c r="T19" t="str">
        <f>PROPER(TRIM(SalesRaw[[#This Row],[PaymentMethod]]))</f>
        <v>Card</v>
      </c>
      <c r="U19" t="str">
        <f>TEXT(S19,"mmmm")</f>
        <v>October</v>
      </c>
      <c r="V19" t="str">
        <f>TEXT(S19,"dddd")</f>
        <v>Wednesday</v>
      </c>
    </row>
    <row r="20" spans="1:22" ht="14.5" x14ac:dyDescent="0.35">
      <c r="A20" s="1">
        <v>100001</v>
      </c>
      <c r="B20" s="2">
        <v>45969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>
        <v>1</v>
      </c>
      <c r="J20" s="1">
        <v>499.99</v>
      </c>
      <c r="K20" s="1" t="s">
        <v>25</v>
      </c>
      <c r="L20" s="1" t="s">
        <v>18</v>
      </c>
      <c r="M20" t="str">
        <f>PROPER(TRIM(SalesRaw[[#This Row],[City]]))</f>
        <v>Manchester</v>
      </c>
      <c r="N20" t="str">
        <f>_xlfn.TEXTBEFORE(SalesRaw[[#This Row],[CustomerName]]," ")</f>
        <v>Chloe</v>
      </c>
      <c r="O20" t="str">
        <f>_xlfn.TEXTAFTER(SalesRaw[[#This Row],[CustomerName]]," ")</f>
        <v>Roberts</v>
      </c>
      <c r="P20" t="str">
        <f>_xlfn.TEXTAFTER(SalesRaw[[#This Row],[Email]],"@")</f>
        <v>examplemail.com</v>
      </c>
      <c r="Q20" s="7">
        <f>_xlfn.NUMBERVALUE(SUBSTITUTE(SUBSTITUTE(SalesRaw[[#This Row],[UnitPrice]],"£",""),",",""))</f>
        <v>499.99</v>
      </c>
      <c r="R20" s="7">
        <f>_xlfn.NUMBERVALUE(SUBSTITUTE(SUBSTITUTE(SalesRaw[[#This Row],[Revenue]],"£",""),",",""))</f>
        <v>499.99</v>
      </c>
      <c r="S20" s="9">
        <f>IF(ISNUMBER(SalesRaw[[#This Row],[OrderDate]]),SalesRaw[[#This Row],[OrderDate]],DATEVALUE(SalesRaw[[#This Row],[OrderDate]]))</f>
        <v>45969</v>
      </c>
      <c r="T20" t="str">
        <f>PROPER(TRIM(SalesRaw[[#This Row],[PaymentMethod]]))</f>
        <v>Card</v>
      </c>
      <c r="U20" t="str">
        <f>TEXT(S20,"mmmm")</f>
        <v>November</v>
      </c>
      <c r="V20" t="str">
        <f>TEXT(S20,"dddd")</f>
        <v>Saturday</v>
      </c>
    </row>
    <row r="21" spans="1:22" ht="15.75" customHeight="1" x14ac:dyDescent="0.35">
      <c r="A21" s="1">
        <v>100039</v>
      </c>
      <c r="B21" s="1" t="s">
        <v>145</v>
      </c>
      <c r="C21" s="1" t="s">
        <v>146</v>
      </c>
      <c r="D21" s="1" t="s">
        <v>147</v>
      </c>
      <c r="E21" s="1" t="s">
        <v>21</v>
      </c>
      <c r="F21" s="1" t="s">
        <v>22</v>
      </c>
      <c r="G21" s="1" t="s">
        <v>42</v>
      </c>
      <c r="H21" s="1" t="s">
        <v>30</v>
      </c>
      <c r="I21" s="1">
        <v>1</v>
      </c>
      <c r="J21" s="1" t="s">
        <v>25</v>
      </c>
      <c r="K21" s="1">
        <v>499.99</v>
      </c>
      <c r="L21" s="1" t="s">
        <v>43</v>
      </c>
      <c r="M21" t="str">
        <f>PROPER(TRIM(SalesRaw[[#This Row],[City]]))</f>
        <v>Manchester</v>
      </c>
      <c r="N21" t="str">
        <f>_xlfn.TEXTBEFORE(SalesRaw[[#This Row],[CustomerName]]," ")</f>
        <v>Tariq</v>
      </c>
      <c r="O21" t="str">
        <f>_xlfn.TEXTAFTER(SalesRaw[[#This Row],[CustomerName]]," ")</f>
        <v>Brown</v>
      </c>
      <c r="P21" t="str">
        <f>_xlfn.TEXTAFTER(SalesRaw[[#This Row],[Email]],"@")</f>
        <v>examplemail.com</v>
      </c>
      <c r="Q21" s="7">
        <f>_xlfn.NUMBERVALUE(SUBSTITUTE(SUBSTITUTE(SalesRaw[[#This Row],[UnitPrice]],"£",""),",",""))</f>
        <v>499.99</v>
      </c>
      <c r="R21" s="7">
        <f>_xlfn.NUMBERVALUE(SUBSTITUTE(SUBSTITUTE(SalesRaw[[#This Row],[Revenue]],"£",""),",",""))</f>
        <v>499.99</v>
      </c>
      <c r="S21" s="9">
        <f>IF(ISNUMBER(SalesRaw[[#This Row],[OrderDate]]),SalesRaw[[#This Row],[OrderDate]],DATEVALUE(SalesRaw[[#This Row],[OrderDate]]))</f>
        <v>45910</v>
      </c>
      <c r="T21" t="str">
        <f>PROPER(TRIM(SalesRaw[[#This Row],[PaymentMethod]]))</f>
        <v>Cash</v>
      </c>
      <c r="U21" t="str">
        <f>TEXT(S21,"mmmm")</f>
        <v>September</v>
      </c>
      <c r="V21" t="str">
        <f>TEXT(S21,"dddd")</f>
        <v>Wednesday</v>
      </c>
    </row>
    <row r="22" spans="1:22" ht="15.75" customHeight="1" x14ac:dyDescent="0.35">
      <c r="A22" s="1">
        <v>100109</v>
      </c>
      <c r="B22" s="2">
        <v>45939</v>
      </c>
      <c r="C22" s="1" t="s">
        <v>291</v>
      </c>
      <c r="D22" s="1" t="s">
        <v>292</v>
      </c>
      <c r="E22" s="1" t="s">
        <v>60</v>
      </c>
      <c r="F22" s="1" t="s">
        <v>61</v>
      </c>
      <c r="G22" s="1" t="s">
        <v>16</v>
      </c>
      <c r="H22" s="1" t="s">
        <v>17</v>
      </c>
      <c r="I22" s="1">
        <v>1</v>
      </c>
      <c r="J22" s="1">
        <v>499.99</v>
      </c>
      <c r="K22" s="1">
        <v>499.99</v>
      </c>
      <c r="L22" s="1" t="s">
        <v>43</v>
      </c>
      <c r="M22" t="str">
        <f>PROPER(TRIM(SalesRaw[[#This Row],[City]]))</f>
        <v>Edinburgh</v>
      </c>
      <c r="N22" t="str">
        <f>_xlfn.TEXTBEFORE(SalesRaw[[#This Row],[CustomerName]]," ")</f>
        <v>Jack</v>
      </c>
      <c r="O22" t="str">
        <f>_xlfn.TEXTAFTER(SalesRaw[[#This Row],[CustomerName]]," ")</f>
        <v>Osei</v>
      </c>
      <c r="P22" t="str">
        <f>_xlfn.TEXTAFTER(SalesRaw[[#This Row],[Email]],"@")</f>
        <v>examplemail.com</v>
      </c>
      <c r="Q22" s="7">
        <f>_xlfn.NUMBERVALUE(SUBSTITUTE(SUBSTITUTE(SalesRaw[[#This Row],[UnitPrice]],"£",""),",",""))</f>
        <v>499.99</v>
      </c>
      <c r="R22" s="7">
        <f>_xlfn.NUMBERVALUE(SUBSTITUTE(SUBSTITUTE(SalesRaw[[#This Row],[Revenue]],"£",""),",",""))</f>
        <v>499.99</v>
      </c>
      <c r="S22" s="9">
        <f>IF(ISNUMBER(SalesRaw[[#This Row],[OrderDate]]),SalesRaw[[#This Row],[OrderDate]],DATEVALUE(SalesRaw[[#This Row],[OrderDate]]))</f>
        <v>45939</v>
      </c>
      <c r="T22" t="str">
        <f>PROPER(TRIM(SalesRaw[[#This Row],[PaymentMethod]]))</f>
        <v>Cash</v>
      </c>
      <c r="U22" t="str">
        <f>TEXT(S22,"mmmm")</f>
        <v>October</v>
      </c>
      <c r="V22" t="str">
        <f>TEXT(S22,"dddd")</f>
        <v>Thursday</v>
      </c>
    </row>
    <row r="23" spans="1:22" ht="15.75" customHeight="1" x14ac:dyDescent="0.35">
      <c r="A23" s="1">
        <v>100126</v>
      </c>
      <c r="B23" s="2">
        <v>45960</v>
      </c>
      <c r="C23" s="1" t="s">
        <v>322</v>
      </c>
      <c r="D23" s="1" t="s">
        <v>323</v>
      </c>
      <c r="E23" s="1" t="s">
        <v>28</v>
      </c>
      <c r="F23" s="1" t="s">
        <v>28</v>
      </c>
      <c r="G23" s="1" t="s">
        <v>29</v>
      </c>
      <c r="H23" s="1" t="s">
        <v>30</v>
      </c>
      <c r="I23" s="1">
        <v>1</v>
      </c>
      <c r="J23" s="1">
        <v>499.99</v>
      </c>
      <c r="K23" s="1">
        <v>499.99</v>
      </c>
      <c r="L23" s="1" t="s">
        <v>54</v>
      </c>
      <c r="M23" t="str">
        <f>PROPER(TRIM(SalesRaw[[#This Row],[City]]))</f>
        <v>London</v>
      </c>
      <c r="N23" t="str">
        <f>_xlfn.TEXTBEFORE(SalesRaw[[#This Row],[CustomerName]]," ")</f>
        <v>Quinn</v>
      </c>
      <c r="O23" t="str">
        <f>_xlfn.TEXTAFTER(SalesRaw[[#This Row],[CustomerName]]," ")</f>
        <v>Young</v>
      </c>
      <c r="P23" t="str">
        <f>_xlfn.TEXTAFTER(SalesRaw[[#This Row],[Email]],"@")</f>
        <v>examplemail.com</v>
      </c>
      <c r="Q23" s="7">
        <f>_xlfn.NUMBERVALUE(SUBSTITUTE(SUBSTITUTE(SalesRaw[[#This Row],[UnitPrice]],"£",""),",",""))</f>
        <v>499.99</v>
      </c>
      <c r="R23" s="7">
        <f>_xlfn.NUMBERVALUE(SUBSTITUTE(SUBSTITUTE(SalesRaw[[#This Row],[Revenue]],"£",""),",",""))</f>
        <v>499.99</v>
      </c>
      <c r="S23" s="9">
        <f>IF(ISNUMBER(SalesRaw[[#This Row],[OrderDate]]),SalesRaw[[#This Row],[OrderDate]],DATEVALUE(SalesRaw[[#This Row],[OrderDate]]))</f>
        <v>45960</v>
      </c>
      <c r="T23" t="str">
        <f>PROPER(TRIM(SalesRaw[[#This Row],[PaymentMethod]]))</f>
        <v>Bank Transfer</v>
      </c>
      <c r="U23" t="str">
        <f>TEXT(S23,"mmmm")</f>
        <v>October</v>
      </c>
      <c r="V23" t="str">
        <f>TEXT(S23,"dddd")</f>
        <v>Thursday</v>
      </c>
    </row>
    <row r="24" spans="1:22" ht="15.75" customHeight="1" x14ac:dyDescent="0.35">
      <c r="A24" s="1">
        <v>100138</v>
      </c>
      <c r="B24" s="2">
        <v>45922</v>
      </c>
      <c r="C24" s="1" t="s">
        <v>346</v>
      </c>
      <c r="D24" s="1" t="s">
        <v>347</v>
      </c>
      <c r="E24" s="1" t="s">
        <v>28</v>
      </c>
      <c r="F24" s="1" t="s">
        <v>28</v>
      </c>
      <c r="G24" s="1" t="s">
        <v>119</v>
      </c>
      <c r="H24" s="1" t="s">
        <v>30</v>
      </c>
      <c r="I24" s="1">
        <v>1</v>
      </c>
      <c r="J24" s="1">
        <v>499.99</v>
      </c>
      <c r="K24" s="1">
        <v>499.99</v>
      </c>
      <c r="L24" s="1" t="s">
        <v>18</v>
      </c>
      <c r="M24" t="str">
        <f>PROPER(TRIM(SalesRaw[[#This Row],[City]]))</f>
        <v>London</v>
      </c>
      <c r="N24" t="str">
        <f>_xlfn.TEXTBEFORE(SalesRaw[[#This Row],[CustomerName]]," ")</f>
        <v>Priya</v>
      </c>
      <c r="O24" t="str">
        <f>_xlfn.TEXTAFTER(SalesRaw[[#This Row],[CustomerName]]," ")</f>
        <v>Iqbal</v>
      </c>
      <c r="P24" t="str">
        <f>_xlfn.TEXTAFTER(SalesRaw[[#This Row],[Email]],"@")</f>
        <v>examplemail.com</v>
      </c>
      <c r="Q24" s="7">
        <f>_xlfn.NUMBERVALUE(SUBSTITUTE(SUBSTITUTE(SalesRaw[[#This Row],[UnitPrice]],"£",""),",",""))</f>
        <v>499.99</v>
      </c>
      <c r="R24" s="7">
        <f>_xlfn.NUMBERVALUE(SUBSTITUTE(SUBSTITUTE(SalesRaw[[#This Row],[Revenue]],"£",""),",",""))</f>
        <v>499.99</v>
      </c>
      <c r="S24" s="9">
        <f>IF(ISNUMBER(SalesRaw[[#This Row],[OrderDate]]),SalesRaw[[#This Row],[OrderDate]],DATEVALUE(SalesRaw[[#This Row],[OrderDate]]))</f>
        <v>45922</v>
      </c>
      <c r="T24" t="str">
        <f>PROPER(TRIM(SalesRaw[[#This Row],[PaymentMethod]]))</f>
        <v>Card</v>
      </c>
      <c r="U24" t="str">
        <f>TEXT(S24,"mmmm")</f>
        <v>September</v>
      </c>
      <c r="V24" t="str">
        <f>TEXT(S24,"dddd")</f>
        <v>Monday</v>
      </c>
    </row>
    <row r="25" spans="1:22" ht="15.75" customHeight="1" x14ac:dyDescent="0.35">
      <c r="A25" s="1">
        <v>100033</v>
      </c>
      <c r="B25" s="2">
        <v>45935</v>
      </c>
      <c r="C25" s="1" t="s">
        <v>130</v>
      </c>
      <c r="D25" s="5" t="s">
        <v>358</v>
      </c>
      <c r="E25" s="1" t="s">
        <v>57</v>
      </c>
      <c r="F25" s="1" t="s">
        <v>46</v>
      </c>
      <c r="G25" s="1" t="s">
        <v>116</v>
      </c>
      <c r="H25" s="1" t="s">
        <v>83</v>
      </c>
      <c r="I25" s="1">
        <v>4</v>
      </c>
      <c r="J25" s="1" t="s">
        <v>131</v>
      </c>
      <c r="K25" s="1">
        <v>319.95999999999998</v>
      </c>
      <c r="L25" s="1" t="s">
        <v>54</v>
      </c>
      <c r="M25" t="str">
        <f>PROPER(TRIM(SalesRaw[[#This Row],[City]]))</f>
        <v>Birmingham</v>
      </c>
      <c r="N25" t="str">
        <f>_xlfn.TEXTBEFORE(SalesRaw[[#This Row],[CustomerName]]," ")</f>
        <v>Jack</v>
      </c>
      <c r="O25" t="str">
        <f>_xlfn.TEXTAFTER(SalesRaw[[#This Row],[CustomerName]]," ")</f>
        <v>Ahmed</v>
      </c>
      <c r="P25" t="str">
        <f>_xlfn.TEXTAFTER(SalesRaw[[#This Row],[Email]],"@")</f>
        <v>unknoown.com</v>
      </c>
      <c r="Q25" s="7">
        <f>_xlfn.NUMBERVALUE(SUBSTITUTE(SUBSTITUTE(SalesRaw[[#This Row],[UnitPrice]],"£",""),",",""))</f>
        <v>79.989999999999995</v>
      </c>
      <c r="R25" s="7">
        <f>_xlfn.NUMBERVALUE(SUBSTITUTE(SUBSTITUTE(SalesRaw[[#This Row],[Revenue]],"£",""),",",""))</f>
        <v>319.95999999999998</v>
      </c>
      <c r="S25" s="9">
        <f>IF(ISNUMBER(SalesRaw[[#This Row],[OrderDate]]),SalesRaw[[#This Row],[OrderDate]],DATEVALUE(SalesRaw[[#This Row],[OrderDate]]))</f>
        <v>45935</v>
      </c>
      <c r="T25" t="str">
        <f>PROPER(TRIM(SalesRaw[[#This Row],[PaymentMethod]]))</f>
        <v>Bank Transfer</v>
      </c>
      <c r="U25" t="str">
        <f>TEXT(S25,"mmmm")</f>
        <v>October</v>
      </c>
      <c r="V25" t="str">
        <f>TEXT(S25,"dddd")</f>
        <v>Sunday</v>
      </c>
    </row>
    <row r="26" spans="1:22" ht="15.75" customHeight="1" x14ac:dyDescent="0.35">
      <c r="A26" s="1">
        <v>100004</v>
      </c>
      <c r="B26" s="2">
        <v>45984</v>
      </c>
      <c r="C26" s="1" t="s">
        <v>35</v>
      </c>
      <c r="D26" s="1" t="s">
        <v>36</v>
      </c>
      <c r="E26" s="1" t="s">
        <v>21</v>
      </c>
      <c r="F26" s="1" t="s">
        <v>22</v>
      </c>
      <c r="G26" s="1" t="s">
        <v>37</v>
      </c>
      <c r="H26" s="1" t="s">
        <v>38</v>
      </c>
      <c r="I26" s="1">
        <v>1</v>
      </c>
      <c r="J26" s="1">
        <v>199.99</v>
      </c>
      <c r="K26" s="1">
        <v>199.99</v>
      </c>
      <c r="L26" s="1" t="s">
        <v>18</v>
      </c>
      <c r="M26" t="str">
        <f>PROPER(TRIM(SalesRaw[[#This Row],[City]]))</f>
        <v>Manchester</v>
      </c>
      <c r="N26" t="str">
        <f>_xlfn.TEXTBEFORE(SalesRaw[[#This Row],[CustomerName]]," ")</f>
        <v>Ben</v>
      </c>
      <c r="O26" t="str">
        <f>_xlfn.TEXTAFTER(SalesRaw[[#This Row],[CustomerName]]," ")</f>
        <v>Singh</v>
      </c>
      <c r="P26" t="str">
        <f>_xlfn.TEXTAFTER(SalesRaw[[#This Row],[Email]],"@")</f>
        <v>examplemail.com</v>
      </c>
      <c r="Q26" s="7">
        <f>_xlfn.NUMBERVALUE(SUBSTITUTE(SUBSTITUTE(SalesRaw[[#This Row],[UnitPrice]],"£",""),",",""))</f>
        <v>199.99</v>
      </c>
      <c r="R26" s="7">
        <f>_xlfn.NUMBERVALUE(SUBSTITUTE(SUBSTITUTE(SalesRaw[[#This Row],[Revenue]],"£",""),",",""))</f>
        <v>199.99</v>
      </c>
      <c r="S26" s="9">
        <f>IF(ISNUMBER(SalesRaw[[#This Row],[OrderDate]]),SalesRaw[[#This Row],[OrderDate]],DATEVALUE(SalesRaw[[#This Row],[OrderDate]]))</f>
        <v>45984</v>
      </c>
      <c r="T26" t="str">
        <f>PROPER(TRIM(SalesRaw[[#This Row],[PaymentMethod]]))</f>
        <v>Card</v>
      </c>
      <c r="U26" t="str">
        <f>TEXT(S26,"mmmm")</f>
        <v>November</v>
      </c>
      <c r="V26" t="str">
        <f>TEXT(S26,"dddd")</f>
        <v>Sunday</v>
      </c>
    </row>
    <row r="27" spans="1:22" ht="15.75" customHeight="1" x14ac:dyDescent="0.35">
      <c r="A27" s="1">
        <v>100014</v>
      </c>
      <c r="B27" s="2">
        <v>45969</v>
      </c>
      <c r="C27" s="1" t="s">
        <v>79</v>
      </c>
      <c r="D27" s="1" t="s">
        <v>80</v>
      </c>
      <c r="E27" s="1" t="s">
        <v>81</v>
      </c>
      <c r="F27" s="1" t="s">
        <v>22</v>
      </c>
      <c r="G27" s="1" t="s">
        <v>82</v>
      </c>
      <c r="H27" s="1" t="s">
        <v>83</v>
      </c>
      <c r="I27" s="1">
        <v>1</v>
      </c>
      <c r="J27" s="1">
        <v>199.99</v>
      </c>
      <c r="K27" s="1">
        <v>199.99</v>
      </c>
      <c r="L27" s="1" t="s">
        <v>31</v>
      </c>
      <c r="M27" t="str">
        <f>PROPER(TRIM(SalesRaw[[#This Row],[City]]))</f>
        <v>Liverpool</v>
      </c>
      <c r="N27" t="str">
        <f>_xlfn.TEXTBEFORE(SalesRaw[[#This Row],[CustomerName]]," ")</f>
        <v>Chloe</v>
      </c>
      <c r="O27" t="str">
        <f>_xlfn.TEXTAFTER(SalesRaw[[#This Row],[CustomerName]]," ")</f>
        <v>Singh</v>
      </c>
      <c r="P27" t="str">
        <f>_xlfn.TEXTAFTER(SalesRaw[[#This Row],[Email]],"@")</f>
        <v>examplemail.com</v>
      </c>
      <c r="Q27" s="7">
        <f>_xlfn.NUMBERVALUE(SUBSTITUTE(SUBSTITUTE(SalesRaw[[#This Row],[UnitPrice]],"£",""),",",""))</f>
        <v>199.99</v>
      </c>
      <c r="R27" s="7">
        <f>_xlfn.NUMBERVALUE(SUBSTITUTE(SUBSTITUTE(SalesRaw[[#This Row],[Revenue]],"£",""),",",""))</f>
        <v>199.99</v>
      </c>
      <c r="S27" s="9">
        <f>IF(ISNUMBER(SalesRaw[[#This Row],[OrderDate]]),SalesRaw[[#This Row],[OrderDate]],DATEVALUE(SalesRaw[[#This Row],[OrderDate]]))</f>
        <v>45969</v>
      </c>
      <c r="T27" t="str">
        <f>PROPER(TRIM(SalesRaw[[#This Row],[PaymentMethod]]))</f>
        <v>Paypal</v>
      </c>
      <c r="U27" t="str">
        <f>TEXT(S27,"mmmm")</f>
        <v>November</v>
      </c>
      <c r="V27" t="str">
        <f>TEXT(S27,"dddd")</f>
        <v>Saturday</v>
      </c>
    </row>
    <row r="28" spans="1:22" ht="15.75" customHeight="1" x14ac:dyDescent="0.35">
      <c r="A28" s="1">
        <v>100025</v>
      </c>
      <c r="B28" s="2">
        <v>45964</v>
      </c>
      <c r="C28" s="1" t="s">
        <v>112</v>
      </c>
      <c r="D28" s="5" t="s">
        <v>358</v>
      </c>
      <c r="E28" s="1" t="s">
        <v>34</v>
      </c>
      <c r="F28" s="1" t="s">
        <v>15</v>
      </c>
      <c r="G28" s="1" t="s">
        <v>70</v>
      </c>
      <c r="H28" s="1" t="s">
        <v>30</v>
      </c>
      <c r="I28" s="1">
        <v>1</v>
      </c>
      <c r="J28" s="1" t="s">
        <v>113</v>
      </c>
      <c r="K28" s="1">
        <v>199.99</v>
      </c>
      <c r="L28" s="1" t="s">
        <v>54</v>
      </c>
      <c r="M28" t="str">
        <f>PROPER(TRIM(SalesRaw[[#This Row],[City]]))</f>
        <v>Leeds</v>
      </c>
      <c r="N28" t="str">
        <f>_xlfn.TEXTBEFORE(SalesRaw[[#This Row],[CustomerName]]," ")</f>
        <v>Priya</v>
      </c>
      <c r="O28" t="str">
        <f>_xlfn.TEXTAFTER(SalesRaw[[#This Row],[CustomerName]]," ")</f>
        <v>Brown</v>
      </c>
      <c r="P28" t="str">
        <f>_xlfn.TEXTAFTER(SalesRaw[[#This Row],[Email]],"@")</f>
        <v>unknoown.com</v>
      </c>
      <c r="Q28" s="7">
        <f>_xlfn.NUMBERVALUE(SUBSTITUTE(SUBSTITUTE(SalesRaw[[#This Row],[UnitPrice]],"£",""),",",""))</f>
        <v>199.99</v>
      </c>
      <c r="R28" s="7">
        <f>_xlfn.NUMBERVALUE(SUBSTITUTE(SUBSTITUTE(SalesRaw[[#This Row],[Revenue]],"£",""),",",""))</f>
        <v>199.99</v>
      </c>
      <c r="S28" s="9">
        <f>IF(ISNUMBER(SalesRaw[[#This Row],[OrderDate]]),SalesRaw[[#This Row],[OrderDate]],DATEVALUE(SalesRaw[[#This Row],[OrderDate]]))</f>
        <v>45964</v>
      </c>
      <c r="T28" t="str">
        <f>PROPER(TRIM(SalesRaw[[#This Row],[PaymentMethod]]))</f>
        <v>Bank Transfer</v>
      </c>
      <c r="U28" t="str">
        <f>TEXT(S28,"mmmm")</f>
        <v>November</v>
      </c>
      <c r="V28" t="str">
        <f>TEXT(S28,"dddd")</f>
        <v>Monday</v>
      </c>
    </row>
    <row r="29" spans="1:22" ht="15.75" customHeight="1" x14ac:dyDescent="0.35">
      <c r="A29" s="1">
        <v>100036</v>
      </c>
      <c r="B29" s="2">
        <v>45979</v>
      </c>
      <c r="C29" s="1" t="s">
        <v>139</v>
      </c>
      <c r="D29" s="1" t="s">
        <v>140</v>
      </c>
      <c r="E29" s="1" t="s">
        <v>14</v>
      </c>
      <c r="F29" s="1" t="s">
        <v>15</v>
      </c>
      <c r="G29" s="1" t="s">
        <v>29</v>
      </c>
      <c r="H29" s="1" t="s">
        <v>30</v>
      </c>
      <c r="I29" s="1">
        <v>1</v>
      </c>
      <c r="J29" s="1">
        <v>199.99</v>
      </c>
      <c r="K29" s="1">
        <v>199.99</v>
      </c>
      <c r="L29" s="1" t="s">
        <v>31</v>
      </c>
      <c r="M29" t="str">
        <f>PROPER(TRIM(SalesRaw[[#This Row],[City]]))</f>
        <v>Sheffield</v>
      </c>
      <c r="N29" t="str">
        <f>_xlfn.TEXTBEFORE(SalesRaw[[#This Row],[CustomerName]]," ")</f>
        <v>Maya</v>
      </c>
      <c r="O29" t="str">
        <f>_xlfn.TEXTAFTER(SalesRaw[[#This Row],[CustomerName]]," ")</f>
        <v>Martin</v>
      </c>
      <c r="P29" t="str">
        <f>_xlfn.TEXTAFTER(SalesRaw[[#This Row],[Email]],"@")</f>
        <v>examplemail.com</v>
      </c>
      <c r="Q29" s="7">
        <f>_xlfn.NUMBERVALUE(SUBSTITUTE(SUBSTITUTE(SalesRaw[[#This Row],[UnitPrice]],"£",""),",",""))</f>
        <v>199.99</v>
      </c>
      <c r="R29" s="7">
        <f>_xlfn.NUMBERVALUE(SUBSTITUTE(SUBSTITUTE(SalesRaw[[#This Row],[Revenue]],"£",""),",",""))</f>
        <v>199.99</v>
      </c>
      <c r="S29" s="9">
        <f>IF(ISNUMBER(SalesRaw[[#This Row],[OrderDate]]),SalesRaw[[#This Row],[OrderDate]],DATEVALUE(SalesRaw[[#This Row],[OrderDate]]))</f>
        <v>45979</v>
      </c>
      <c r="T29" t="str">
        <f>PROPER(TRIM(SalesRaw[[#This Row],[PaymentMethod]]))</f>
        <v>Paypal</v>
      </c>
      <c r="U29" t="str">
        <f>TEXT(S29,"mmmm")</f>
        <v>November</v>
      </c>
      <c r="V29" t="str">
        <f>TEXT(S29,"dddd")</f>
        <v>Tuesday</v>
      </c>
    </row>
    <row r="30" spans="1:22" ht="15.75" customHeight="1" x14ac:dyDescent="0.35">
      <c r="A30" s="1">
        <v>100054</v>
      </c>
      <c r="B30" s="2">
        <v>45965</v>
      </c>
      <c r="C30" s="1" t="s">
        <v>177</v>
      </c>
      <c r="D30" s="1" t="s">
        <v>178</v>
      </c>
      <c r="E30" s="1" t="s">
        <v>81</v>
      </c>
      <c r="F30" s="1" t="s">
        <v>22</v>
      </c>
      <c r="G30" s="1" t="s">
        <v>119</v>
      </c>
      <c r="H30" s="1" t="s">
        <v>30</v>
      </c>
      <c r="I30" s="1">
        <v>1</v>
      </c>
      <c r="J30" s="1">
        <v>199.99</v>
      </c>
      <c r="K30" s="1" t="s">
        <v>113</v>
      </c>
      <c r="L30" s="1" t="s">
        <v>54</v>
      </c>
      <c r="M30" t="str">
        <f>PROPER(TRIM(SalesRaw[[#This Row],[City]]))</f>
        <v>Liverpool</v>
      </c>
      <c r="N30" t="str">
        <f>_xlfn.TEXTBEFORE(SalesRaw[[#This Row],[CustomerName]]," ")</f>
        <v>Aisha</v>
      </c>
      <c r="O30" t="str">
        <f>_xlfn.TEXTAFTER(SalesRaw[[#This Row],[CustomerName]]," ")</f>
        <v>Zimmerman</v>
      </c>
      <c r="P30" t="str">
        <f>_xlfn.TEXTAFTER(SalesRaw[[#This Row],[Email]],"@")</f>
        <v>examplemail.com</v>
      </c>
      <c r="Q30" s="7">
        <f>_xlfn.NUMBERVALUE(SUBSTITUTE(SUBSTITUTE(SalesRaw[[#This Row],[UnitPrice]],"£",""),",",""))</f>
        <v>199.99</v>
      </c>
      <c r="R30" s="7">
        <f>_xlfn.NUMBERVALUE(SUBSTITUTE(SUBSTITUTE(SalesRaw[[#This Row],[Revenue]],"£",""),",",""))</f>
        <v>199.99</v>
      </c>
      <c r="S30" s="9">
        <f>IF(ISNUMBER(SalesRaw[[#This Row],[OrderDate]]),SalesRaw[[#This Row],[OrderDate]],DATEVALUE(SalesRaw[[#This Row],[OrderDate]]))</f>
        <v>45965</v>
      </c>
      <c r="T30" t="str">
        <f>PROPER(TRIM(SalesRaw[[#This Row],[PaymentMethod]]))</f>
        <v>Bank Transfer</v>
      </c>
      <c r="U30" t="str">
        <f>TEXT(S30,"mmmm")</f>
        <v>November</v>
      </c>
      <c r="V30" t="str">
        <f>TEXT(S30,"dddd")</f>
        <v>Tuesday</v>
      </c>
    </row>
    <row r="31" spans="1:22" ht="15.75" customHeight="1" x14ac:dyDescent="0.35">
      <c r="A31" s="1">
        <v>100060</v>
      </c>
      <c r="B31" s="1" t="s">
        <v>191</v>
      </c>
      <c r="C31" s="1" t="s">
        <v>192</v>
      </c>
      <c r="D31" s="1" t="s">
        <v>193</v>
      </c>
      <c r="E31" s="1" t="s">
        <v>14</v>
      </c>
      <c r="F31" s="1" t="s">
        <v>15</v>
      </c>
      <c r="G31" s="1" t="s">
        <v>70</v>
      </c>
      <c r="H31" s="1" t="s">
        <v>30</v>
      </c>
      <c r="I31" s="1">
        <v>1</v>
      </c>
      <c r="J31" s="1" t="s">
        <v>113</v>
      </c>
      <c r="K31" s="1">
        <v>199.99</v>
      </c>
      <c r="L31" s="1" t="s">
        <v>43</v>
      </c>
      <c r="M31" t="str">
        <f>PROPER(TRIM(SalesRaw[[#This Row],[City]]))</f>
        <v>Sheffield</v>
      </c>
      <c r="N31" t="str">
        <f>_xlfn.TEXTBEFORE(SalesRaw[[#This Row],[CustomerName]]," ")</f>
        <v>Victor</v>
      </c>
      <c r="O31" t="str">
        <f>_xlfn.TEXTAFTER(SalesRaw[[#This Row],[CustomerName]]," ")</f>
        <v>Davis</v>
      </c>
      <c r="P31" t="str">
        <f>_xlfn.TEXTAFTER(SalesRaw[[#This Row],[Email]],"@")</f>
        <v>examplemail.com</v>
      </c>
      <c r="Q31" s="7">
        <f>_xlfn.NUMBERVALUE(SUBSTITUTE(SUBSTITUTE(SalesRaw[[#This Row],[UnitPrice]],"£",""),",",""))</f>
        <v>199.99</v>
      </c>
      <c r="R31" s="7">
        <f>_xlfn.NUMBERVALUE(SUBSTITUTE(SUBSTITUTE(SalesRaw[[#This Row],[Revenue]],"£",""),",",""))</f>
        <v>199.99</v>
      </c>
      <c r="S31" s="9">
        <f>IF(ISNUMBER(SalesRaw[[#This Row],[OrderDate]]),SalesRaw[[#This Row],[OrderDate]],DATEVALUE(SalesRaw[[#This Row],[OrderDate]]))</f>
        <v>45849</v>
      </c>
      <c r="T31" t="str">
        <f>PROPER(TRIM(SalesRaw[[#This Row],[PaymentMethod]]))</f>
        <v>Cash</v>
      </c>
      <c r="U31" t="str">
        <f>TEXT(S31,"mmmm")</f>
        <v>July</v>
      </c>
      <c r="V31" t="str">
        <f>TEXT(S31,"dddd")</f>
        <v>Friday</v>
      </c>
    </row>
    <row r="32" spans="1:22" ht="15.75" customHeight="1" x14ac:dyDescent="0.35">
      <c r="A32" s="1">
        <v>100063</v>
      </c>
      <c r="B32" s="2">
        <v>45905</v>
      </c>
      <c r="C32" s="1" t="s">
        <v>198</v>
      </c>
      <c r="D32" s="1" t="s">
        <v>199</v>
      </c>
      <c r="E32" s="1" t="s">
        <v>21</v>
      </c>
      <c r="F32" s="1" t="s">
        <v>22</v>
      </c>
      <c r="G32" s="1" t="s">
        <v>62</v>
      </c>
      <c r="H32" s="1" t="s">
        <v>30</v>
      </c>
      <c r="I32" s="1">
        <v>1</v>
      </c>
      <c r="J32" s="1">
        <v>199.99</v>
      </c>
      <c r="K32" s="1">
        <v>199.99</v>
      </c>
      <c r="L32" s="1" t="s">
        <v>43</v>
      </c>
      <c r="M32" t="str">
        <f>PROPER(TRIM(SalesRaw[[#This Row],[City]]))</f>
        <v>Manchester</v>
      </c>
      <c r="N32" t="str">
        <f>_xlfn.TEXTBEFORE(SalesRaw[[#This Row],[CustomerName]]," ")</f>
        <v>Maya</v>
      </c>
      <c r="O32" t="str">
        <f>_xlfn.TEXTAFTER(SalesRaw[[#This Row],[CustomerName]]," ")</f>
        <v>Xu</v>
      </c>
      <c r="P32" t="str">
        <f>_xlfn.TEXTAFTER(SalesRaw[[#This Row],[Email]],"@")</f>
        <v>examplemail.com</v>
      </c>
      <c r="Q32" s="7">
        <f>_xlfn.NUMBERVALUE(SUBSTITUTE(SUBSTITUTE(SalesRaw[[#This Row],[UnitPrice]],"£",""),",",""))</f>
        <v>199.99</v>
      </c>
      <c r="R32" s="7">
        <f>_xlfn.NUMBERVALUE(SUBSTITUTE(SUBSTITUTE(SalesRaw[[#This Row],[Revenue]],"£",""),",",""))</f>
        <v>199.99</v>
      </c>
      <c r="S32" s="9">
        <f>IF(ISNUMBER(SalesRaw[[#This Row],[OrderDate]]),SalesRaw[[#This Row],[OrderDate]],DATEVALUE(SalesRaw[[#This Row],[OrderDate]]))</f>
        <v>45905</v>
      </c>
      <c r="T32" t="str">
        <f>PROPER(TRIM(SalesRaw[[#This Row],[PaymentMethod]]))</f>
        <v>Cash</v>
      </c>
      <c r="U32" t="str">
        <f>TEXT(S32,"mmmm")</f>
        <v>September</v>
      </c>
      <c r="V32" t="str">
        <f>TEXT(S32,"dddd")</f>
        <v>Friday</v>
      </c>
    </row>
    <row r="33" spans="1:22" ht="15.75" customHeight="1" x14ac:dyDescent="0.35">
      <c r="A33" s="1">
        <v>100072</v>
      </c>
      <c r="B33" s="2">
        <v>45984</v>
      </c>
      <c r="C33" s="1" t="s">
        <v>216</v>
      </c>
      <c r="D33" s="1" t="s">
        <v>217</v>
      </c>
      <c r="E33" t="s">
        <v>357</v>
      </c>
      <c r="F33" s="1" t="s">
        <v>66</v>
      </c>
      <c r="G33" s="1" t="s">
        <v>122</v>
      </c>
      <c r="H33" s="1" t="s">
        <v>30</v>
      </c>
      <c r="I33" s="1">
        <v>1</v>
      </c>
      <c r="J33" s="1">
        <v>199.99</v>
      </c>
      <c r="K33" s="1">
        <v>199.99</v>
      </c>
      <c r="L33" s="1" t="s">
        <v>31</v>
      </c>
      <c r="M33" t="str">
        <f>PROPER(TRIM(SalesRaw[[#This Row],[City]]))</f>
        <v>Unknown</v>
      </c>
      <c r="N33" t="str">
        <f>_xlfn.TEXTBEFORE(SalesRaw[[#This Row],[CustomerName]]," ")</f>
        <v>Olivia</v>
      </c>
      <c r="O33" t="str">
        <f>_xlfn.TEXTAFTER(SalesRaw[[#This Row],[CustomerName]]," ")</f>
        <v>Vaughan</v>
      </c>
      <c r="P33" t="str">
        <f>_xlfn.TEXTAFTER(SalesRaw[[#This Row],[Email]],"@")</f>
        <v>examplemail.com</v>
      </c>
      <c r="Q33" s="7">
        <f>_xlfn.NUMBERVALUE(SUBSTITUTE(SUBSTITUTE(SalesRaw[[#This Row],[UnitPrice]],"£",""),",",""))</f>
        <v>199.99</v>
      </c>
      <c r="R33" s="7">
        <f>_xlfn.NUMBERVALUE(SUBSTITUTE(SUBSTITUTE(SalesRaw[[#This Row],[Revenue]],"£",""),",",""))</f>
        <v>199.99</v>
      </c>
      <c r="S33" s="9">
        <f>IF(ISNUMBER(SalesRaw[[#This Row],[OrderDate]]),SalesRaw[[#This Row],[OrderDate]],DATEVALUE(SalesRaw[[#This Row],[OrderDate]]))</f>
        <v>45984</v>
      </c>
      <c r="T33" t="str">
        <f>PROPER(TRIM(SalesRaw[[#This Row],[PaymentMethod]]))</f>
        <v>Paypal</v>
      </c>
      <c r="U33" t="str">
        <f>TEXT(S33,"mmmm")</f>
        <v>November</v>
      </c>
      <c r="V33" t="str">
        <f>TEXT(S33,"dddd")</f>
        <v>Sunday</v>
      </c>
    </row>
    <row r="34" spans="1:22" ht="15.75" customHeight="1" x14ac:dyDescent="0.35">
      <c r="A34" s="1">
        <v>100074</v>
      </c>
      <c r="B34" s="2">
        <v>45919</v>
      </c>
      <c r="C34" s="1" t="s">
        <v>135</v>
      </c>
      <c r="D34" s="1" t="s">
        <v>136</v>
      </c>
      <c r="E34" s="1" t="s">
        <v>57</v>
      </c>
      <c r="F34" s="1" t="s">
        <v>46</v>
      </c>
      <c r="G34" s="1" t="s">
        <v>53</v>
      </c>
      <c r="H34" s="1" t="s">
        <v>17</v>
      </c>
      <c r="I34" s="1">
        <v>1</v>
      </c>
      <c r="J34" s="1">
        <v>199.99</v>
      </c>
      <c r="K34" s="1">
        <v>199.99</v>
      </c>
      <c r="L34" s="1" t="s">
        <v>220</v>
      </c>
      <c r="M34" t="str">
        <f>PROPER(TRIM(SalesRaw[[#This Row],[City]]))</f>
        <v>Birmingham</v>
      </c>
      <c r="N34" t="str">
        <f>_xlfn.TEXTBEFORE(SalesRaw[[#This Row],[CustomerName]]," ")</f>
        <v>Olivia</v>
      </c>
      <c r="O34" t="str">
        <f>_xlfn.TEXTAFTER(SalesRaw[[#This Row],[CustomerName]]," ")</f>
        <v>Young</v>
      </c>
      <c r="P34" t="str">
        <f>_xlfn.TEXTAFTER(SalesRaw[[#This Row],[Email]],"@")</f>
        <v>examplemail.com</v>
      </c>
      <c r="Q34" s="7">
        <f>_xlfn.NUMBERVALUE(SUBSTITUTE(SUBSTITUTE(SalesRaw[[#This Row],[UnitPrice]],"£",""),",",""))</f>
        <v>199.99</v>
      </c>
      <c r="R34" s="7">
        <f>_xlfn.NUMBERVALUE(SUBSTITUTE(SUBSTITUTE(SalesRaw[[#This Row],[Revenue]],"£",""),",",""))</f>
        <v>199.99</v>
      </c>
      <c r="S34" s="9">
        <f>IF(ISNUMBER(SalesRaw[[#This Row],[OrderDate]]),SalesRaw[[#This Row],[OrderDate]],DATEVALUE(SalesRaw[[#This Row],[OrderDate]]))</f>
        <v>45919</v>
      </c>
      <c r="T34" t="str">
        <f>PROPER(TRIM(SalesRaw[[#This Row],[PaymentMethod]]))</f>
        <v>Card</v>
      </c>
      <c r="U34" t="str">
        <f>TEXT(S34,"mmmm")</f>
        <v>September</v>
      </c>
      <c r="V34" t="str">
        <f>TEXT(S34,"dddd")</f>
        <v>Friday</v>
      </c>
    </row>
    <row r="35" spans="1:22" ht="15.75" customHeight="1" x14ac:dyDescent="0.35">
      <c r="A35" s="1">
        <v>100102</v>
      </c>
      <c r="B35" s="2">
        <v>45930</v>
      </c>
      <c r="C35" s="1" t="s">
        <v>32</v>
      </c>
      <c r="D35" s="1" t="s">
        <v>33</v>
      </c>
      <c r="E35" t="s">
        <v>357</v>
      </c>
      <c r="F35" s="1" t="s">
        <v>22</v>
      </c>
      <c r="G35" s="1" t="s">
        <v>42</v>
      </c>
      <c r="H35" s="1" t="s">
        <v>30</v>
      </c>
      <c r="I35" s="1">
        <v>1</v>
      </c>
      <c r="J35" s="1">
        <v>199.99</v>
      </c>
      <c r="K35" s="1">
        <v>199.99</v>
      </c>
      <c r="L35" s="1" t="s">
        <v>18</v>
      </c>
      <c r="M35" t="str">
        <f>PROPER(TRIM(SalesRaw[[#This Row],[City]]))</f>
        <v>Unknown</v>
      </c>
      <c r="N35" t="str">
        <f>_xlfn.TEXTBEFORE(SalesRaw[[#This Row],[CustomerName]]," ")</f>
        <v>Noah</v>
      </c>
      <c r="O35" t="str">
        <f>_xlfn.TEXTAFTER(SalesRaw[[#This Row],[CustomerName]]," ")</f>
        <v>Chen</v>
      </c>
      <c r="P35" t="str">
        <f>_xlfn.TEXTAFTER(SalesRaw[[#This Row],[Email]],"@")</f>
        <v>examplemail.com</v>
      </c>
      <c r="Q35" s="7">
        <f>_xlfn.NUMBERVALUE(SUBSTITUTE(SUBSTITUTE(SalesRaw[[#This Row],[UnitPrice]],"£",""),",",""))</f>
        <v>199.99</v>
      </c>
      <c r="R35" s="7">
        <f>_xlfn.NUMBERVALUE(SUBSTITUTE(SUBSTITUTE(SalesRaw[[#This Row],[Revenue]],"£",""),",",""))</f>
        <v>199.99</v>
      </c>
      <c r="S35" s="9">
        <f>IF(ISNUMBER(SalesRaw[[#This Row],[OrderDate]]),SalesRaw[[#This Row],[OrderDate]],DATEVALUE(SalesRaw[[#This Row],[OrderDate]]))</f>
        <v>45930</v>
      </c>
      <c r="T35" t="str">
        <f>PROPER(TRIM(SalesRaw[[#This Row],[PaymentMethod]]))</f>
        <v>Card</v>
      </c>
      <c r="U35" t="str">
        <f>TEXT(S35,"mmmm")</f>
        <v>September</v>
      </c>
      <c r="V35" t="str">
        <f>TEXT(S35,"dddd")</f>
        <v>Tuesday</v>
      </c>
    </row>
    <row r="36" spans="1:22" ht="15.75" customHeight="1" x14ac:dyDescent="0.35">
      <c r="A36" s="1">
        <v>100107</v>
      </c>
      <c r="B36" s="2">
        <v>45909</v>
      </c>
      <c r="C36" s="1" t="s">
        <v>286</v>
      </c>
      <c r="D36" s="1" t="s">
        <v>287</v>
      </c>
      <c r="E36" s="1" t="s">
        <v>288</v>
      </c>
      <c r="F36" s="1" t="s">
        <v>28</v>
      </c>
      <c r="G36" s="1" t="s">
        <v>89</v>
      </c>
      <c r="H36" s="1" t="s">
        <v>38</v>
      </c>
      <c r="I36" s="1">
        <v>1</v>
      </c>
      <c r="J36" s="1" t="s">
        <v>113</v>
      </c>
      <c r="K36" s="1">
        <v>199.99</v>
      </c>
      <c r="L36" s="1" t="s">
        <v>43</v>
      </c>
      <c r="M36" t="str">
        <f>PROPER(TRIM(SalesRaw[[#This Row],[City]]))</f>
        <v>London</v>
      </c>
      <c r="N36" t="str">
        <f>_xlfn.TEXTBEFORE(SalesRaw[[#This Row],[CustomerName]]," ")</f>
        <v>Fatima</v>
      </c>
      <c r="O36" t="str">
        <f>_xlfn.TEXTAFTER(SalesRaw[[#This Row],[CustomerName]]," ")</f>
        <v>Iqbal</v>
      </c>
      <c r="P36" t="str">
        <f>_xlfn.TEXTAFTER(SalesRaw[[#This Row],[Email]],"@")</f>
        <v>examplemail.com</v>
      </c>
      <c r="Q36" s="7">
        <f>_xlfn.NUMBERVALUE(SUBSTITUTE(SUBSTITUTE(SalesRaw[[#This Row],[UnitPrice]],"£",""),",",""))</f>
        <v>199.99</v>
      </c>
      <c r="R36" s="7">
        <f>_xlfn.NUMBERVALUE(SUBSTITUTE(SUBSTITUTE(SalesRaw[[#This Row],[Revenue]],"£",""),",",""))</f>
        <v>199.99</v>
      </c>
      <c r="S36" s="9">
        <f>IF(ISNUMBER(SalesRaw[[#This Row],[OrderDate]]),SalesRaw[[#This Row],[OrderDate]],DATEVALUE(SalesRaw[[#This Row],[OrderDate]]))</f>
        <v>45909</v>
      </c>
      <c r="T36" t="str">
        <f>PROPER(TRIM(SalesRaw[[#This Row],[PaymentMethod]]))</f>
        <v>Cash</v>
      </c>
      <c r="U36" t="str">
        <f>TEXT(S36,"mmmm")</f>
        <v>September</v>
      </c>
      <c r="V36" t="str">
        <f>TEXT(S36,"dddd")</f>
        <v>Tuesday</v>
      </c>
    </row>
    <row r="37" spans="1:22" ht="15.75" customHeight="1" x14ac:dyDescent="0.35">
      <c r="A37" s="1">
        <v>100125</v>
      </c>
      <c r="B37" s="2">
        <v>45935</v>
      </c>
      <c r="C37" s="1" t="s">
        <v>320</v>
      </c>
      <c r="D37" s="1" t="s">
        <v>321</v>
      </c>
      <c r="E37" s="1" t="s">
        <v>137</v>
      </c>
      <c r="F37" s="1" t="s">
        <v>138</v>
      </c>
      <c r="G37" s="1" t="s">
        <v>37</v>
      </c>
      <c r="H37" s="1" t="s">
        <v>38</v>
      </c>
      <c r="I37" s="1" t="s">
        <v>75</v>
      </c>
      <c r="J37" s="1">
        <v>199.99</v>
      </c>
      <c r="K37" s="1">
        <v>199.99</v>
      </c>
      <c r="L37" s="1" t="s">
        <v>43</v>
      </c>
      <c r="M37" t="str">
        <f>PROPER(TRIM(SalesRaw[[#This Row],[City]]))</f>
        <v>Belfast</v>
      </c>
      <c r="N37" t="str">
        <f>_xlfn.TEXTBEFORE(SalesRaw[[#This Row],[CustomerName]]," ")</f>
        <v>Isla</v>
      </c>
      <c r="O37" t="str">
        <f>_xlfn.TEXTAFTER(SalesRaw[[#This Row],[CustomerName]]," ")</f>
        <v>Quinn</v>
      </c>
      <c r="P37" t="str">
        <f>_xlfn.TEXTAFTER(SalesRaw[[#This Row],[Email]],"@")</f>
        <v>examplemail.com</v>
      </c>
      <c r="Q37" s="7">
        <f>_xlfn.NUMBERVALUE(SUBSTITUTE(SUBSTITUTE(SalesRaw[[#This Row],[UnitPrice]],"£",""),",",""))</f>
        <v>199.99</v>
      </c>
      <c r="R37" s="7">
        <f>_xlfn.NUMBERVALUE(SUBSTITUTE(SUBSTITUTE(SalesRaw[[#This Row],[Revenue]],"£",""),",",""))</f>
        <v>199.99</v>
      </c>
      <c r="S37" s="9">
        <f>IF(ISNUMBER(SalesRaw[[#This Row],[OrderDate]]),SalesRaw[[#This Row],[OrderDate]],DATEVALUE(SalesRaw[[#This Row],[OrderDate]]))</f>
        <v>45935</v>
      </c>
      <c r="T37" t="str">
        <f>PROPER(TRIM(SalesRaw[[#This Row],[PaymentMethod]]))</f>
        <v>Cash</v>
      </c>
      <c r="U37" t="str">
        <f>TEXT(S37,"mmmm")</f>
        <v>October</v>
      </c>
      <c r="V37" t="str">
        <f>TEXT(S37,"dddd")</f>
        <v>Sunday</v>
      </c>
    </row>
    <row r="38" spans="1:22" ht="15.75" customHeight="1" x14ac:dyDescent="0.35">
      <c r="A38" s="1">
        <v>100002</v>
      </c>
      <c r="B38" s="2">
        <v>45926</v>
      </c>
      <c r="C38" s="1" t="s">
        <v>26</v>
      </c>
      <c r="D38" s="1" t="s">
        <v>27</v>
      </c>
      <c r="E38" s="1" t="s">
        <v>28</v>
      </c>
      <c r="F38" s="1" t="s">
        <v>28</v>
      </c>
      <c r="G38" s="1" t="s">
        <v>29</v>
      </c>
      <c r="H38" s="1" t="s">
        <v>30</v>
      </c>
      <c r="I38" s="1">
        <v>2</v>
      </c>
      <c r="J38" s="1">
        <v>79.989999999999995</v>
      </c>
      <c r="K38" s="1">
        <v>159.97999999999999</v>
      </c>
      <c r="L38" s="1" t="s">
        <v>31</v>
      </c>
      <c r="M38" t="str">
        <f>PROPER(TRIM(SalesRaw[[#This Row],[City]]))</f>
        <v>London</v>
      </c>
      <c r="N38" t="str">
        <f>_xlfn.TEXTBEFORE(SalesRaw[[#This Row],[CustomerName]]," ")</f>
        <v>Quinn</v>
      </c>
      <c r="O38" t="str">
        <f>_xlfn.TEXTAFTER(SalesRaw[[#This Row],[CustomerName]]," ")</f>
        <v>Green</v>
      </c>
      <c r="P38" t="str">
        <f>_xlfn.TEXTAFTER(SalesRaw[[#This Row],[Email]],"@")</f>
        <v>examplemail.com</v>
      </c>
      <c r="Q38" s="7">
        <f>_xlfn.NUMBERVALUE(SUBSTITUTE(SUBSTITUTE(SalesRaw[[#This Row],[UnitPrice]],"£",""),",",""))</f>
        <v>79.989999999999995</v>
      </c>
      <c r="R38" s="7">
        <f>_xlfn.NUMBERVALUE(SUBSTITUTE(SUBSTITUTE(SalesRaw[[#This Row],[Revenue]],"£",""),",",""))</f>
        <v>159.97999999999999</v>
      </c>
      <c r="S38" s="9">
        <f>IF(ISNUMBER(SalesRaw[[#This Row],[OrderDate]]),SalesRaw[[#This Row],[OrderDate]],DATEVALUE(SalesRaw[[#This Row],[OrderDate]]))</f>
        <v>45926</v>
      </c>
      <c r="T38" t="str">
        <f>PROPER(TRIM(SalesRaw[[#This Row],[PaymentMethod]]))</f>
        <v>Paypal</v>
      </c>
      <c r="U38" t="str">
        <f>TEXT(S38,"mmmm")</f>
        <v>September</v>
      </c>
      <c r="V38" t="str">
        <f>TEXT(S38,"dddd")</f>
        <v>Friday</v>
      </c>
    </row>
    <row r="39" spans="1:22" ht="15.75" customHeight="1" x14ac:dyDescent="0.35">
      <c r="A39" s="1">
        <v>100073</v>
      </c>
      <c r="B39" s="2">
        <v>45951</v>
      </c>
      <c r="C39" s="1" t="s">
        <v>218</v>
      </c>
      <c r="D39" s="1" t="s">
        <v>219</v>
      </c>
      <c r="E39" s="1" t="s">
        <v>60</v>
      </c>
      <c r="F39" s="1" t="s">
        <v>41</v>
      </c>
      <c r="G39" s="1" t="s">
        <v>89</v>
      </c>
      <c r="H39" s="1" t="s">
        <v>38</v>
      </c>
      <c r="I39">
        <v>1</v>
      </c>
      <c r="J39" s="1">
        <v>79.989999999999995</v>
      </c>
      <c r="K39" s="1">
        <v>159.97999999999999</v>
      </c>
      <c r="L39" s="1" t="s">
        <v>18</v>
      </c>
      <c r="M39" t="str">
        <f>PROPER(TRIM(SalesRaw[[#This Row],[City]]))</f>
        <v>Edinburgh</v>
      </c>
      <c r="N39" t="str">
        <f>_xlfn.TEXTBEFORE(SalesRaw[[#This Row],[CustomerName]]," ")</f>
        <v>Quinn</v>
      </c>
      <c r="O39" t="str">
        <f>_xlfn.TEXTAFTER(SalesRaw[[#This Row],[CustomerName]]," ")</f>
        <v>Evans</v>
      </c>
      <c r="P39" t="str">
        <f>_xlfn.TEXTAFTER(SalesRaw[[#This Row],[Email]],"@")</f>
        <v>examplemail.com</v>
      </c>
      <c r="Q39" s="7">
        <f>_xlfn.NUMBERVALUE(SUBSTITUTE(SUBSTITUTE(SalesRaw[[#This Row],[UnitPrice]],"£",""),",",""))</f>
        <v>79.989999999999995</v>
      </c>
      <c r="R39" s="7">
        <f>_xlfn.NUMBERVALUE(SUBSTITUTE(SUBSTITUTE(SalesRaw[[#This Row],[Revenue]],"£",""),",",""))</f>
        <v>159.97999999999999</v>
      </c>
      <c r="S39" s="9">
        <f>IF(ISNUMBER(SalesRaw[[#This Row],[OrderDate]]),SalesRaw[[#This Row],[OrderDate]],DATEVALUE(SalesRaw[[#This Row],[OrderDate]]))</f>
        <v>45951</v>
      </c>
      <c r="T39" t="str">
        <f>PROPER(TRIM(SalesRaw[[#This Row],[PaymentMethod]]))</f>
        <v>Card</v>
      </c>
      <c r="U39" t="str">
        <f>TEXT(S39,"mmmm")</f>
        <v>October</v>
      </c>
      <c r="V39" t="str">
        <f>TEXT(S39,"dddd")</f>
        <v>Tuesday</v>
      </c>
    </row>
    <row r="40" spans="1:22" ht="15.75" customHeight="1" x14ac:dyDescent="0.35">
      <c r="A40" s="1">
        <v>100103</v>
      </c>
      <c r="B40" s="1" t="s">
        <v>278</v>
      </c>
      <c r="C40" s="1" t="s">
        <v>279</v>
      </c>
      <c r="D40" s="1" t="s">
        <v>280</v>
      </c>
      <c r="E40" s="1" t="s">
        <v>21</v>
      </c>
      <c r="F40" s="1" t="s">
        <v>22</v>
      </c>
      <c r="G40" s="1" t="s">
        <v>53</v>
      </c>
      <c r="H40" s="1" t="s">
        <v>17</v>
      </c>
      <c r="I40" s="1">
        <v>2</v>
      </c>
      <c r="J40" s="1">
        <v>79.989999999999995</v>
      </c>
      <c r="K40" s="1">
        <v>159.97999999999999</v>
      </c>
      <c r="L40" s="1" t="s">
        <v>43</v>
      </c>
      <c r="M40" t="str">
        <f>PROPER(TRIM(SalesRaw[[#This Row],[City]]))</f>
        <v>Manchester</v>
      </c>
      <c r="N40" t="str">
        <f>_xlfn.TEXTBEFORE(SalesRaw[[#This Row],[CustomerName]]," ")</f>
        <v>Zoe</v>
      </c>
      <c r="O40" t="str">
        <f>_xlfn.TEXTAFTER(SalesRaw[[#This Row],[CustomerName]]," ")</f>
        <v>Iqbal</v>
      </c>
      <c r="P40" t="str">
        <f>_xlfn.TEXTAFTER(SalesRaw[[#This Row],[Email]],"@")</f>
        <v>examplemail.com</v>
      </c>
      <c r="Q40" s="7">
        <f>_xlfn.NUMBERVALUE(SUBSTITUTE(SUBSTITUTE(SalesRaw[[#This Row],[UnitPrice]],"£",""),",",""))</f>
        <v>79.989999999999995</v>
      </c>
      <c r="R40" s="7">
        <f>_xlfn.NUMBERVALUE(SUBSTITUTE(SUBSTITUTE(SalesRaw[[#This Row],[Revenue]],"£",""),",",""))</f>
        <v>159.97999999999999</v>
      </c>
      <c r="S40" s="9">
        <f>IF(ISNUMBER(SalesRaw[[#This Row],[OrderDate]]),SalesRaw[[#This Row],[OrderDate]],DATEVALUE(SalesRaw[[#This Row],[OrderDate]]))</f>
        <v>45913</v>
      </c>
      <c r="T40" t="str">
        <f>PROPER(TRIM(SalesRaw[[#This Row],[PaymentMethod]]))</f>
        <v>Cash</v>
      </c>
      <c r="U40" t="str">
        <f>TEXT(S40,"mmmm")</f>
        <v>September</v>
      </c>
      <c r="V40" t="str">
        <f>TEXT(S40,"dddd")</f>
        <v>Saturday</v>
      </c>
    </row>
    <row r="41" spans="1:22" ht="15.75" customHeight="1" x14ac:dyDescent="0.35">
      <c r="A41" s="1">
        <v>100123</v>
      </c>
      <c r="B41" s="2">
        <v>45913</v>
      </c>
      <c r="C41" s="1" t="s">
        <v>315</v>
      </c>
      <c r="D41" s="1" t="s">
        <v>316</v>
      </c>
      <c r="E41" s="1" t="s">
        <v>34</v>
      </c>
      <c r="F41" s="1" t="s">
        <v>15</v>
      </c>
      <c r="G41" s="1" t="s">
        <v>23</v>
      </c>
      <c r="H41" s="1" t="s">
        <v>24</v>
      </c>
      <c r="I41">
        <v>1</v>
      </c>
      <c r="J41" s="1">
        <v>79.989999999999995</v>
      </c>
      <c r="K41" s="1">
        <v>159.97999999999999</v>
      </c>
      <c r="L41" s="1" t="s">
        <v>43</v>
      </c>
      <c r="M41" t="str">
        <f>PROPER(TRIM(SalesRaw[[#This Row],[City]]))</f>
        <v>Leeds</v>
      </c>
      <c r="N41" t="str">
        <f>_xlfn.TEXTBEFORE(SalesRaw[[#This Row],[CustomerName]]," ")</f>
        <v>Ben</v>
      </c>
      <c r="O41" t="str">
        <f>_xlfn.TEXTAFTER(SalesRaw[[#This Row],[CustomerName]]," ")</f>
        <v>Johnson</v>
      </c>
      <c r="P41" t="str">
        <f>_xlfn.TEXTAFTER(SalesRaw[[#This Row],[Email]],"@")</f>
        <v>examplemail.com</v>
      </c>
      <c r="Q41" s="7">
        <f>_xlfn.NUMBERVALUE(SUBSTITUTE(SUBSTITUTE(SalesRaw[[#This Row],[UnitPrice]],"£",""),",",""))</f>
        <v>79.989999999999995</v>
      </c>
      <c r="R41" s="7">
        <f>_xlfn.NUMBERVALUE(SUBSTITUTE(SUBSTITUTE(SalesRaw[[#This Row],[Revenue]],"£",""),",",""))</f>
        <v>159.97999999999999</v>
      </c>
      <c r="S41" s="9">
        <f>IF(ISNUMBER(SalesRaw[[#This Row],[OrderDate]]),SalesRaw[[#This Row],[OrderDate]],DATEVALUE(SalesRaw[[#This Row],[OrderDate]]))</f>
        <v>45913</v>
      </c>
      <c r="T41" t="str">
        <f>PROPER(TRIM(SalesRaw[[#This Row],[PaymentMethod]]))</f>
        <v>Cash</v>
      </c>
      <c r="U41" t="str">
        <f>TEXT(S41,"mmmm")</f>
        <v>September</v>
      </c>
      <c r="V41" t="str">
        <f>TEXT(S41,"dddd")</f>
        <v>Saturday</v>
      </c>
    </row>
    <row r="42" spans="1:22" ht="15.75" customHeight="1" x14ac:dyDescent="0.35">
      <c r="A42" s="1">
        <v>100135</v>
      </c>
      <c r="B42" s="2">
        <v>45938</v>
      </c>
      <c r="C42" s="1" t="s">
        <v>342</v>
      </c>
      <c r="D42" s="1" t="s">
        <v>343</v>
      </c>
      <c r="E42" s="1" t="s">
        <v>28</v>
      </c>
      <c r="F42" s="1" t="s">
        <v>28</v>
      </c>
      <c r="G42" s="1" t="s">
        <v>89</v>
      </c>
      <c r="H42" s="1" t="s">
        <v>38</v>
      </c>
      <c r="I42" s="1">
        <v>2</v>
      </c>
      <c r="J42" s="1">
        <v>79.989999999999995</v>
      </c>
      <c r="K42" s="1">
        <v>159.97999999999999</v>
      </c>
      <c r="L42" s="1" t="s">
        <v>54</v>
      </c>
      <c r="M42" t="str">
        <f>PROPER(TRIM(SalesRaw[[#This Row],[City]]))</f>
        <v>London</v>
      </c>
      <c r="N42" t="str">
        <f>_xlfn.TEXTBEFORE(SalesRaw[[#This Row],[CustomerName]]," ")</f>
        <v>Chloe</v>
      </c>
      <c r="O42" t="str">
        <f>_xlfn.TEXTAFTER(SalesRaw[[#This Row],[CustomerName]]," ")</f>
        <v>Ahmed</v>
      </c>
      <c r="P42" t="str">
        <f>_xlfn.TEXTAFTER(SalesRaw[[#This Row],[Email]],"@")</f>
        <v>examplemail.com</v>
      </c>
      <c r="Q42" s="7">
        <f>_xlfn.NUMBERVALUE(SUBSTITUTE(SUBSTITUTE(SalesRaw[[#This Row],[UnitPrice]],"£",""),",",""))</f>
        <v>79.989999999999995</v>
      </c>
      <c r="R42" s="7">
        <f>_xlfn.NUMBERVALUE(SUBSTITUTE(SUBSTITUTE(SalesRaw[[#This Row],[Revenue]],"£",""),",",""))</f>
        <v>159.97999999999999</v>
      </c>
      <c r="S42" s="9">
        <f>IF(ISNUMBER(SalesRaw[[#This Row],[OrderDate]]),SalesRaw[[#This Row],[OrderDate]],DATEVALUE(SalesRaw[[#This Row],[OrderDate]]))</f>
        <v>45938</v>
      </c>
      <c r="T42" t="str">
        <f>PROPER(TRIM(SalesRaw[[#This Row],[PaymentMethod]]))</f>
        <v>Bank Transfer</v>
      </c>
      <c r="U42" t="str">
        <f>TEXT(S42,"mmmm")</f>
        <v>October</v>
      </c>
      <c r="V42" t="str">
        <f>TEXT(S42,"dddd")</f>
        <v>Wednesday</v>
      </c>
    </row>
    <row r="43" spans="1:22" ht="15.75" customHeight="1" x14ac:dyDescent="0.35">
      <c r="A43" s="1">
        <v>100055</v>
      </c>
      <c r="B43" s="2">
        <v>45962</v>
      </c>
      <c r="C43" s="1" t="s">
        <v>179</v>
      </c>
      <c r="D43" s="1" t="s">
        <v>180</v>
      </c>
      <c r="E43" s="1" t="s">
        <v>65</v>
      </c>
      <c r="F43" s="1" t="s">
        <v>66</v>
      </c>
      <c r="G43" s="1" t="s">
        <v>23</v>
      </c>
      <c r="H43" s="1" t="s">
        <v>24</v>
      </c>
      <c r="I43" s="1">
        <v>1</v>
      </c>
      <c r="J43" s="1">
        <v>129.99</v>
      </c>
      <c r="K43" s="1">
        <v>129.99</v>
      </c>
      <c r="L43" s="1" t="s">
        <v>31</v>
      </c>
      <c r="M43" t="str">
        <f>PROPER(TRIM(SalesRaw[[#This Row],[City]]))</f>
        <v>Cardiff</v>
      </c>
      <c r="N43" t="str">
        <f>_xlfn.TEXTBEFORE(SalesRaw[[#This Row],[CustomerName]]," ")</f>
        <v>Grace</v>
      </c>
      <c r="O43" t="str">
        <f>_xlfn.TEXTAFTER(SalesRaw[[#This Row],[CustomerName]]," ")</f>
        <v>Williams</v>
      </c>
      <c r="P43" t="str">
        <f>_xlfn.TEXTAFTER(SalesRaw[[#This Row],[Email]],"@")</f>
        <v>examplemail.com</v>
      </c>
      <c r="Q43" s="7">
        <f>_xlfn.NUMBERVALUE(SUBSTITUTE(SUBSTITUTE(SalesRaw[[#This Row],[UnitPrice]],"£",""),",",""))</f>
        <v>129.99</v>
      </c>
      <c r="R43" s="7">
        <f>_xlfn.NUMBERVALUE(SUBSTITUTE(SUBSTITUTE(SalesRaw[[#This Row],[Revenue]],"£",""),",",""))</f>
        <v>129.99</v>
      </c>
      <c r="S43" s="9">
        <f>IF(ISNUMBER(SalesRaw[[#This Row],[OrderDate]]),SalesRaw[[#This Row],[OrderDate]],DATEVALUE(SalesRaw[[#This Row],[OrderDate]]))</f>
        <v>45962</v>
      </c>
      <c r="T43" t="str">
        <f>PROPER(TRIM(SalesRaw[[#This Row],[PaymentMethod]]))</f>
        <v>Paypal</v>
      </c>
      <c r="U43" t="str">
        <f>TEXT(S43,"mmmm")</f>
        <v>November</v>
      </c>
      <c r="V43" t="str">
        <f>TEXT(S43,"dddd")</f>
        <v>Saturday</v>
      </c>
    </row>
    <row r="44" spans="1:22" ht="15.75" customHeight="1" x14ac:dyDescent="0.35">
      <c r="A44" s="1">
        <v>100068</v>
      </c>
      <c r="B44" s="2">
        <v>45974</v>
      </c>
      <c r="C44" s="1" t="s">
        <v>206</v>
      </c>
      <c r="D44" s="1" t="s">
        <v>207</v>
      </c>
      <c r="E44" s="1" t="s">
        <v>57</v>
      </c>
      <c r="F44" s="1" t="s">
        <v>46</v>
      </c>
      <c r="G44" s="1" t="s">
        <v>116</v>
      </c>
      <c r="H44" s="1" t="s">
        <v>83</v>
      </c>
      <c r="I44" s="1">
        <v>1</v>
      </c>
      <c r="J44" s="1">
        <v>129.99</v>
      </c>
      <c r="K44" s="1">
        <v>129.99</v>
      </c>
      <c r="L44" s="1" t="s">
        <v>43</v>
      </c>
      <c r="M44" t="str">
        <f>PROPER(TRIM(SalesRaw[[#This Row],[City]]))</f>
        <v>Birmingham</v>
      </c>
      <c r="N44" t="str">
        <f>_xlfn.TEXTBEFORE(SalesRaw[[#This Row],[CustomerName]]," ")</f>
        <v>Quinn</v>
      </c>
      <c r="O44" t="str">
        <f>_xlfn.TEXTAFTER(SalesRaw[[#This Row],[CustomerName]]," ")</f>
        <v>Xu</v>
      </c>
      <c r="P44" t="str">
        <f>_xlfn.TEXTAFTER(SalesRaw[[#This Row],[Email]],"@")</f>
        <v>examplemail.com</v>
      </c>
      <c r="Q44" s="7">
        <f>_xlfn.NUMBERVALUE(SUBSTITUTE(SUBSTITUTE(SalesRaw[[#This Row],[UnitPrice]],"£",""),",",""))</f>
        <v>129.99</v>
      </c>
      <c r="R44" s="7">
        <f>_xlfn.NUMBERVALUE(SUBSTITUTE(SUBSTITUTE(SalesRaw[[#This Row],[Revenue]],"£",""),",",""))</f>
        <v>129.99</v>
      </c>
      <c r="S44" s="9">
        <f>IF(ISNUMBER(SalesRaw[[#This Row],[OrderDate]]),SalesRaw[[#This Row],[OrderDate]],DATEVALUE(SalesRaw[[#This Row],[OrderDate]]))</f>
        <v>45974</v>
      </c>
      <c r="T44" t="str">
        <f>PROPER(TRIM(SalesRaw[[#This Row],[PaymentMethod]]))</f>
        <v>Cash</v>
      </c>
      <c r="U44" t="str">
        <f>TEXT(S44,"mmmm")</f>
        <v>November</v>
      </c>
      <c r="V44" t="str">
        <f>TEXT(S44,"dddd")</f>
        <v>Thursday</v>
      </c>
    </row>
    <row r="45" spans="1:22" ht="15.75" customHeight="1" x14ac:dyDescent="0.35">
      <c r="A45" s="1">
        <v>100085</v>
      </c>
      <c r="B45" s="1" t="s">
        <v>238</v>
      </c>
      <c r="C45" s="1" t="s">
        <v>239</v>
      </c>
      <c r="D45" s="1" t="s">
        <v>240</v>
      </c>
      <c r="E45" s="1" t="s">
        <v>74</v>
      </c>
      <c r="F45" s="1" t="s">
        <v>61</v>
      </c>
      <c r="G45" s="1" t="s">
        <v>23</v>
      </c>
      <c r="H45" s="1" t="s">
        <v>24</v>
      </c>
      <c r="I45" s="1">
        <v>1</v>
      </c>
      <c r="J45" s="1">
        <v>129.99</v>
      </c>
      <c r="K45" s="1" t="s">
        <v>241</v>
      </c>
      <c r="L45" s="1" t="s">
        <v>18</v>
      </c>
      <c r="M45" t="str">
        <f>PROPER(TRIM(SalesRaw[[#This Row],[City]]))</f>
        <v>Glasgow</v>
      </c>
      <c r="N45" t="str">
        <f>_xlfn.TEXTBEFORE(SalesRaw[[#This Row],[CustomerName]]," ")</f>
        <v>Daniel</v>
      </c>
      <c r="O45" t="str">
        <f>_xlfn.TEXTAFTER(SalesRaw[[#This Row],[CustomerName]]," ")</f>
        <v>Martin</v>
      </c>
      <c r="P45" t="str">
        <f>_xlfn.TEXTAFTER(SalesRaw[[#This Row],[Email]],"@")</f>
        <v>examplemail.com</v>
      </c>
      <c r="Q45" s="7">
        <f>_xlfn.NUMBERVALUE(SUBSTITUTE(SUBSTITUTE(SalesRaw[[#This Row],[UnitPrice]],"£",""),",",""))</f>
        <v>129.99</v>
      </c>
      <c r="R45" s="7">
        <f>_xlfn.NUMBERVALUE(SUBSTITUTE(SUBSTITUTE(SalesRaw[[#This Row],[Revenue]],"£",""),",",""))</f>
        <v>129.99</v>
      </c>
      <c r="S45" s="9">
        <f>IF(ISNUMBER(SalesRaw[[#This Row],[OrderDate]]),SalesRaw[[#This Row],[OrderDate]],DATEVALUE(SalesRaw[[#This Row],[OrderDate]]))</f>
        <v>45915</v>
      </c>
      <c r="T45" t="str">
        <f>PROPER(TRIM(SalesRaw[[#This Row],[PaymentMethod]]))</f>
        <v>Card</v>
      </c>
      <c r="U45" t="str">
        <f>TEXT(S45,"mmmm")</f>
        <v>September</v>
      </c>
      <c r="V45" t="str">
        <f>TEXT(S45,"dddd")</f>
        <v>Monday</v>
      </c>
    </row>
    <row r="46" spans="1:22" ht="15.75" customHeight="1" x14ac:dyDescent="0.35">
      <c r="A46" s="1">
        <v>100094</v>
      </c>
      <c r="B46" s="2">
        <v>45973</v>
      </c>
      <c r="C46" s="1" t="s">
        <v>263</v>
      </c>
      <c r="D46" s="5" t="s">
        <v>358</v>
      </c>
      <c r="E46" s="1" t="s">
        <v>74</v>
      </c>
      <c r="F46" s="1" t="s">
        <v>61</v>
      </c>
      <c r="G46" s="1" t="s">
        <v>62</v>
      </c>
      <c r="H46" s="1" t="s">
        <v>30</v>
      </c>
      <c r="I46" s="1">
        <v>1</v>
      </c>
      <c r="J46" s="1">
        <v>129.99</v>
      </c>
      <c r="K46" s="1" t="s">
        <v>241</v>
      </c>
      <c r="L46" s="1" t="s">
        <v>18</v>
      </c>
      <c r="M46" t="str">
        <f>PROPER(TRIM(SalesRaw[[#This Row],[City]]))</f>
        <v>Glasgow</v>
      </c>
      <c r="N46" t="str">
        <f>_xlfn.TEXTBEFORE(SalesRaw[[#This Row],[CustomerName]]," ")</f>
        <v>Ravi</v>
      </c>
      <c r="O46" t="str">
        <f>_xlfn.TEXTAFTER(SalesRaw[[#This Row],[CustomerName]]," ")</f>
        <v>Osei</v>
      </c>
      <c r="P46" t="str">
        <f>_xlfn.TEXTAFTER(SalesRaw[[#This Row],[Email]],"@")</f>
        <v>unknoown.com</v>
      </c>
      <c r="Q46" s="7">
        <f>_xlfn.NUMBERVALUE(SUBSTITUTE(SUBSTITUTE(SalesRaw[[#This Row],[UnitPrice]],"£",""),",",""))</f>
        <v>129.99</v>
      </c>
      <c r="R46" s="7">
        <f>_xlfn.NUMBERVALUE(SUBSTITUTE(SUBSTITUTE(SalesRaw[[#This Row],[Revenue]],"£",""),",",""))</f>
        <v>129.99</v>
      </c>
      <c r="S46" s="9">
        <f>IF(ISNUMBER(SalesRaw[[#This Row],[OrderDate]]),SalesRaw[[#This Row],[OrderDate]],DATEVALUE(SalesRaw[[#This Row],[OrderDate]]))</f>
        <v>45973</v>
      </c>
      <c r="T46" t="str">
        <f>PROPER(TRIM(SalesRaw[[#This Row],[PaymentMethod]]))</f>
        <v>Card</v>
      </c>
      <c r="U46" t="str">
        <f>TEXT(S46,"mmmm")</f>
        <v>November</v>
      </c>
      <c r="V46" t="str">
        <f>TEXT(S46,"dddd")</f>
        <v>Wednesday</v>
      </c>
    </row>
    <row r="47" spans="1:22" ht="15.75" customHeight="1" x14ac:dyDescent="0.35">
      <c r="A47" s="1">
        <v>100099</v>
      </c>
      <c r="B47" s="2">
        <v>45951</v>
      </c>
      <c r="C47" s="1" t="s">
        <v>272</v>
      </c>
      <c r="D47" s="1" t="s">
        <v>273</v>
      </c>
      <c r="E47" s="1" t="s">
        <v>81</v>
      </c>
      <c r="F47" s="1" t="s">
        <v>22</v>
      </c>
      <c r="G47" s="1" t="s">
        <v>116</v>
      </c>
      <c r="H47" s="1" t="s">
        <v>83</v>
      </c>
      <c r="I47" s="1">
        <v>1</v>
      </c>
      <c r="J47" s="1">
        <v>129.99</v>
      </c>
      <c r="K47" s="1">
        <v>129.99</v>
      </c>
      <c r="L47" s="1" t="s">
        <v>43</v>
      </c>
      <c r="M47" t="str">
        <f>PROPER(TRIM(SalesRaw[[#This Row],[City]]))</f>
        <v>Liverpool</v>
      </c>
      <c r="N47" t="str">
        <f>_xlfn.TEXTBEFORE(SalesRaw[[#This Row],[CustomerName]]," ")</f>
        <v>Noah</v>
      </c>
      <c r="O47" t="str">
        <f>_xlfn.TEXTAFTER(SalesRaw[[#This Row],[CustomerName]]," ")</f>
        <v>Vaughan</v>
      </c>
      <c r="P47" t="str">
        <f>_xlfn.TEXTAFTER(SalesRaw[[#This Row],[Email]],"@")</f>
        <v>examplemail.com</v>
      </c>
      <c r="Q47" s="7">
        <f>_xlfn.NUMBERVALUE(SUBSTITUTE(SUBSTITUTE(SalesRaw[[#This Row],[UnitPrice]],"£",""),",",""))</f>
        <v>129.99</v>
      </c>
      <c r="R47" s="7">
        <f>_xlfn.NUMBERVALUE(SUBSTITUTE(SUBSTITUTE(SalesRaw[[#This Row],[Revenue]],"£",""),",",""))</f>
        <v>129.99</v>
      </c>
      <c r="S47" s="9">
        <f>IF(ISNUMBER(SalesRaw[[#This Row],[OrderDate]]),SalesRaw[[#This Row],[OrderDate]],DATEVALUE(SalesRaw[[#This Row],[OrderDate]]))</f>
        <v>45951</v>
      </c>
      <c r="T47" t="str">
        <f>PROPER(TRIM(SalesRaw[[#This Row],[PaymentMethod]]))</f>
        <v>Cash</v>
      </c>
      <c r="U47" t="str">
        <f>TEXT(S47,"mmmm")</f>
        <v>October</v>
      </c>
      <c r="V47" t="str">
        <f>TEXT(S47,"dddd")</f>
        <v>Tuesday</v>
      </c>
    </row>
    <row r="48" spans="1:22" ht="15.75" customHeight="1" x14ac:dyDescent="0.35">
      <c r="A48" s="1">
        <v>100114</v>
      </c>
      <c r="B48" s="2">
        <v>45982</v>
      </c>
      <c r="C48" s="1" t="s">
        <v>299</v>
      </c>
      <c r="D48" s="1" t="s">
        <v>300</v>
      </c>
      <c r="E48" s="1" t="s">
        <v>60</v>
      </c>
      <c r="F48" s="1" t="s">
        <v>61</v>
      </c>
      <c r="G48" s="1" t="s">
        <v>47</v>
      </c>
      <c r="H48" s="1" t="s">
        <v>24</v>
      </c>
      <c r="I48" s="1">
        <v>1</v>
      </c>
      <c r="J48" s="1">
        <v>129.99</v>
      </c>
      <c r="K48" s="1">
        <v>129.99</v>
      </c>
      <c r="L48" s="1" t="s">
        <v>43</v>
      </c>
      <c r="M48" t="str">
        <f>PROPER(TRIM(SalesRaw[[#This Row],[City]]))</f>
        <v>Edinburgh</v>
      </c>
      <c r="N48" t="str">
        <f>_xlfn.TEXTBEFORE(SalesRaw[[#This Row],[CustomerName]]," ")</f>
        <v>Ravi</v>
      </c>
      <c r="O48" t="str">
        <f>_xlfn.TEXTAFTER(SalesRaw[[#This Row],[CustomerName]]," ")</f>
        <v>Martin</v>
      </c>
      <c r="P48" t="str">
        <f>_xlfn.TEXTAFTER(SalesRaw[[#This Row],[Email]],"@")</f>
        <v>examplemail.com</v>
      </c>
      <c r="Q48" s="7">
        <f>_xlfn.NUMBERVALUE(SUBSTITUTE(SUBSTITUTE(SalesRaw[[#This Row],[UnitPrice]],"£",""),",",""))</f>
        <v>129.99</v>
      </c>
      <c r="R48" s="7">
        <f>_xlfn.NUMBERVALUE(SUBSTITUTE(SUBSTITUTE(SalesRaw[[#This Row],[Revenue]],"£",""),",",""))</f>
        <v>129.99</v>
      </c>
      <c r="S48" s="9">
        <f>IF(ISNUMBER(SalesRaw[[#This Row],[OrderDate]]),SalesRaw[[#This Row],[OrderDate]],DATEVALUE(SalesRaw[[#This Row],[OrderDate]]))</f>
        <v>45982</v>
      </c>
      <c r="T48" t="str">
        <f>PROPER(TRIM(SalesRaw[[#This Row],[PaymentMethod]]))</f>
        <v>Cash</v>
      </c>
      <c r="U48" t="str">
        <f>TEXT(S48,"mmmm")</f>
        <v>November</v>
      </c>
      <c r="V48" t="str">
        <f>TEXT(S48,"dddd")</f>
        <v>Friday</v>
      </c>
    </row>
    <row r="49" spans="1:22" ht="15.75" customHeight="1" x14ac:dyDescent="0.35">
      <c r="A49" s="1">
        <v>100120</v>
      </c>
      <c r="B49" s="2">
        <v>45965</v>
      </c>
      <c r="C49" s="1" t="s">
        <v>311</v>
      </c>
      <c r="D49" s="1" t="s">
        <v>312</v>
      </c>
      <c r="E49" s="1" t="s">
        <v>28</v>
      </c>
      <c r="F49" s="1" t="s">
        <v>28</v>
      </c>
      <c r="G49" s="1" t="s">
        <v>119</v>
      </c>
      <c r="H49" s="1" t="s">
        <v>30</v>
      </c>
      <c r="I49" s="1">
        <v>1</v>
      </c>
      <c r="J49" s="1">
        <v>129.99</v>
      </c>
      <c r="K49" s="1" t="s">
        <v>241</v>
      </c>
      <c r="L49" s="1" t="s">
        <v>43</v>
      </c>
      <c r="M49" t="str">
        <f>PROPER(TRIM(SalesRaw[[#This Row],[City]]))</f>
        <v>London</v>
      </c>
      <c r="N49" t="str">
        <f>_xlfn.TEXTBEFORE(SalesRaw[[#This Row],[CustomerName]]," ")</f>
        <v>Wendy</v>
      </c>
      <c r="O49" t="str">
        <f>_xlfn.TEXTAFTER(SalesRaw[[#This Row],[CustomerName]]," ")</f>
        <v>Johnson</v>
      </c>
      <c r="P49" t="str">
        <f>_xlfn.TEXTAFTER(SalesRaw[[#This Row],[Email]],"@")</f>
        <v>examplemail.com</v>
      </c>
      <c r="Q49" s="7">
        <f>_xlfn.NUMBERVALUE(SUBSTITUTE(SUBSTITUTE(SalesRaw[[#This Row],[UnitPrice]],"£",""),",",""))</f>
        <v>129.99</v>
      </c>
      <c r="R49" s="7">
        <f>_xlfn.NUMBERVALUE(SUBSTITUTE(SUBSTITUTE(SalesRaw[[#This Row],[Revenue]],"£",""),",",""))</f>
        <v>129.99</v>
      </c>
      <c r="S49" s="9">
        <f>IF(ISNUMBER(SalesRaw[[#This Row],[OrderDate]]),SalesRaw[[#This Row],[OrderDate]],DATEVALUE(SalesRaw[[#This Row],[OrderDate]]))</f>
        <v>45965</v>
      </c>
      <c r="T49" t="str">
        <f>PROPER(TRIM(SalesRaw[[#This Row],[PaymentMethod]]))</f>
        <v>Cash</v>
      </c>
      <c r="U49" t="str">
        <f>TEXT(S49,"mmmm")</f>
        <v>November</v>
      </c>
      <c r="V49" t="str">
        <f>TEXT(S49,"dddd")</f>
        <v>Tuesday</v>
      </c>
    </row>
    <row r="50" spans="1:22" ht="15.75" customHeight="1" x14ac:dyDescent="0.35">
      <c r="A50" s="1">
        <v>100121</v>
      </c>
      <c r="B50" s="2">
        <v>45963</v>
      </c>
      <c r="C50" s="1" t="s">
        <v>286</v>
      </c>
      <c r="D50" s="1" t="s">
        <v>287</v>
      </c>
      <c r="E50" s="1" t="s">
        <v>74</v>
      </c>
      <c r="F50" s="1" t="s">
        <v>61</v>
      </c>
      <c r="G50" s="1" t="s">
        <v>42</v>
      </c>
      <c r="H50" s="1" t="s">
        <v>30</v>
      </c>
      <c r="I50" s="1">
        <v>1</v>
      </c>
      <c r="J50" s="1">
        <v>129.99</v>
      </c>
      <c r="K50" s="1">
        <v>129.99</v>
      </c>
      <c r="L50" s="1" t="s">
        <v>155</v>
      </c>
      <c r="M50" t="str">
        <f>PROPER(TRIM(SalesRaw[[#This Row],[City]]))</f>
        <v>Glasgow</v>
      </c>
      <c r="N50" t="str">
        <f>_xlfn.TEXTBEFORE(SalesRaw[[#This Row],[CustomerName]]," ")</f>
        <v>Fatima</v>
      </c>
      <c r="O50" t="str">
        <f>_xlfn.TEXTAFTER(SalesRaw[[#This Row],[CustomerName]]," ")</f>
        <v>Iqbal</v>
      </c>
      <c r="P50" t="str">
        <f>_xlfn.TEXTAFTER(SalesRaw[[#This Row],[Email]],"@")</f>
        <v>examplemail.com</v>
      </c>
      <c r="Q50" s="7">
        <f>_xlfn.NUMBERVALUE(SUBSTITUTE(SUBSTITUTE(SalesRaw[[#This Row],[UnitPrice]],"£",""),",",""))</f>
        <v>129.99</v>
      </c>
      <c r="R50" s="7">
        <f>_xlfn.NUMBERVALUE(SUBSTITUTE(SUBSTITUTE(SalesRaw[[#This Row],[Revenue]],"£",""),",",""))</f>
        <v>129.99</v>
      </c>
      <c r="S50" s="9">
        <f>IF(ISNUMBER(SalesRaw[[#This Row],[OrderDate]]),SalesRaw[[#This Row],[OrderDate]],DATEVALUE(SalesRaw[[#This Row],[OrderDate]]))</f>
        <v>45963</v>
      </c>
      <c r="T50" t="str">
        <f>PROPER(TRIM(SalesRaw[[#This Row],[PaymentMethod]]))</f>
        <v>Bank Transfer</v>
      </c>
      <c r="U50" t="str">
        <f>TEXT(S50,"mmmm")</f>
        <v>November</v>
      </c>
      <c r="V50" t="str">
        <f>TEXT(S50,"dddd")</f>
        <v>Sunday</v>
      </c>
    </row>
    <row r="51" spans="1:22" ht="15.75" customHeight="1" x14ac:dyDescent="0.35">
      <c r="A51" s="1">
        <v>100128</v>
      </c>
      <c r="B51" s="2">
        <v>45906</v>
      </c>
      <c r="C51" s="1" t="s">
        <v>326</v>
      </c>
      <c r="D51" s="1" t="s">
        <v>327</v>
      </c>
      <c r="E51" s="1" t="s">
        <v>81</v>
      </c>
      <c r="F51" s="1" t="s">
        <v>22</v>
      </c>
      <c r="G51" s="1" t="s">
        <v>47</v>
      </c>
      <c r="H51" s="1" t="s">
        <v>24</v>
      </c>
      <c r="I51" s="1">
        <v>1</v>
      </c>
      <c r="J51" s="1">
        <v>129.99</v>
      </c>
      <c r="K51" s="1">
        <v>129.99</v>
      </c>
      <c r="L51" s="1" t="s">
        <v>43</v>
      </c>
      <c r="M51" t="str">
        <f>PROPER(TRIM(SalesRaw[[#This Row],[City]]))</f>
        <v>Liverpool</v>
      </c>
      <c r="N51" t="str">
        <f>_xlfn.TEXTBEFORE(SalesRaw[[#This Row],[CustomerName]]," ")</f>
        <v>Maya</v>
      </c>
      <c r="O51" t="str">
        <f>_xlfn.TEXTAFTER(SalesRaw[[#This Row],[CustomerName]]," ")</f>
        <v>Ahmed</v>
      </c>
      <c r="P51" t="str">
        <f>_xlfn.TEXTAFTER(SalesRaw[[#This Row],[Email]],"@")</f>
        <v>examplemail.com</v>
      </c>
      <c r="Q51" s="7">
        <f>_xlfn.NUMBERVALUE(SUBSTITUTE(SUBSTITUTE(SalesRaw[[#This Row],[UnitPrice]],"£",""),",",""))</f>
        <v>129.99</v>
      </c>
      <c r="R51" s="7">
        <f>_xlfn.NUMBERVALUE(SUBSTITUTE(SUBSTITUTE(SalesRaw[[#This Row],[Revenue]],"£",""),",",""))</f>
        <v>129.99</v>
      </c>
      <c r="S51" s="9">
        <f>IF(ISNUMBER(SalesRaw[[#This Row],[OrderDate]]),SalesRaw[[#This Row],[OrderDate]],DATEVALUE(SalesRaw[[#This Row],[OrderDate]]))</f>
        <v>45906</v>
      </c>
      <c r="T51" t="str">
        <f>PROPER(TRIM(SalesRaw[[#This Row],[PaymentMethod]]))</f>
        <v>Cash</v>
      </c>
      <c r="U51" t="str">
        <f>TEXT(S51,"mmmm")</f>
        <v>September</v>
      </c>
      <c r="V51" t="str">
        <f>TEXT(S51,"dddd")</f>
        <v>Saturday</v>
      </c>
    </row>
    <row r="52" spans="1:22" ht="15.75" customHeight="1" x14ac:dyDescent="0.35">
      <c r="A52" s="1">
        <v>100005</v>
      </c>
      <c r="B52" s="2">
        <v>45924</v>
      </c>
      <c r="C52" s="1" t="s">
        <v>39</v>
      </c>
      <c r="D52" s="1" t="s">
        <v>40</v>
      </c>
      <c r="E52" s="1" t="s">
        <v>14</v>
      </c>
      <c r="F52" s="1" t="s">
        <v>41</v>
      </c>
      <c r="G52" s="1" t="s">
        <v>42</v>
      </c>
      <c r="H52" s="1" t="s">
        <v>30</v>
      </c>
      <c r="I52" s="1">
        <v>2</v>
      </c>
      <c r="J52" s="1">
        <v>49.99</v>
      </c>
      <c r="K52" s="1">
        <v>99.98</v>
      </c>
      <c r="L52" s="1" t="s">
        <v>43</v>
      </c>
      <c r="M52" t="str">
        <f>PROPER(TRIM(SalesRaw[[#This Row],[City]]))</f>
        <v>Sheffield</v>
      </c>
      <c r="N52" t="str">
        <f>_xlfn.TEXTBEFORE(SalesRaw[[#This Row],[CustomerName]]," ")</f>
        <v>Sara</v>
      </c>
      <c r="O52" t="str">
        <f>_xlfn.TEXTAFTER(SalesRaw[[#This Row],[CustomerName]]," ")</f>
        <v>Singh</v>
      </c>
      <c r="P52" t="str">
        <f>_xlfn.TEXTAFTER(SalesRaw[[#This Row],[Email]],"@")</f>
        <v>examplemail.com</v>
      </c>
      <c r="Q52" s="7">
        <f>_xlfn.NUMBERVALUE(SUBSTITUTE(SUBSTITUTE(SalesRaw[[#This Row],[UnitPrice]],"£",""),",",""))</f>
        <v>49.99</v>
      </c>
      <c r="R52" s="7">
        <f>_xlfn.NUMBERVALUE(SUBSTITUTE(SUBSTITUTE(SalesRaw[[#This Row],[Revenue]],"£",""),",",""))</f>
        <v>99.98</v>
      </c>
      <c r="S52" s="9">
        <f>IF(ISNUMBER(SalesRaw[[#This Row],[OrderDate]]),SalesRaw[[#This Row],[OrderDate]],DATEVALUE(SalesRaw[[#This Row],[OrderDate]]))</f>
        <v>45924</v>
      </c>
      <c r="T52" t="str">
        <f>PROPER(TRIM(SalesRaw[[#This Row],[PaymentMethod]]))</f>
        <v>Cash</v>
      </c>
      <c r="U52" t="str">
        <f>TEXT(S52,"mmmm")</f>
        <v>September</v>
      </c>
      <c r="V52" t="str">
        <f>TEXT(S52,"dddd")</f>
        <v>Wednesday</v>
      </c>
    </row>
    <row r="53" spans="1:22" ht="15.75" customHeight="1" x14ac:dyDescent="0.35">
      <c r="A53" s="1">
        <v>100011</v>
      </c>
      <c r="B53" s="1" t="s">
        <v>67</v>
      </c>
      <c r="C53" s="1" t="s">
        <v>68</v>
      </c>
      <c r="D53" s="1" t="s">
        <v>69</v>
      </c>
      <c r="E53" s="1" t="s">
        <v>14</v>
      </c>
      <c r="F53" s="1" t="s">
        <v>15</v>
      </c>
      <c r="G53" s="1" t="s">
        <v>70</v>
      </c>
      <c r="H53" s="1" t="s">
        <v>30</v>
      </c>
      <c r="I53" s="1">
        <v>2</v>
      </c>
      <c r="J53" s="1">
        <v>49.99</v>
      </c>
      <c r="K53" s="1">
        <v>99.98</v>
      </c>
      <c r="L53" s="1" t="s">
        <v>54</v>
      </c>
      <c r="M53" t="str">
        <f>PROPER(TRIM(SalesRaw[[#This Row],[City]]))</f>
        <v>Sheffield</v>
      </c>
      <c r="N53" t="str">
        <f>_xlfn.TEXTBEFORE(SalesRaw[[#This Row],[CustomerName]]," ")</f>
        <v>Victor</v>
      </c>
      <c r="O53" t="str">
        <f>_xlfn.TEXTAFTER(SalesRaw[[#This Row],[CustomerName]]," ")</f>
        <v>Roberts</v>
      </c>
      <c r="P53" t="str">
        <f>_xlfn.TEXTAFTER(SalesRaw[[#This Row],[Email]],"@")</f>
        <v>examplemail.com</v>
      </c>
      <c r="Q53" s="7">
        <f>_xlfn.NUMBERVALUE(SUBSTITUTE(SUBSTITUTE(SalesRaw[[#This Row],[UnitPrice]],"£",""),",",""))</f>
        <v>49.99</v>
      </c>
      <c r="R53" s="7">
        <f>_xlfn.NUMBERVALUE(SUBSTITUTE(SUBSTITUTE(SalesRaw[[#This Row],[Revenue]],"£",""),",",""))</f>
        <v>99.98</v>
      </c>
      <c r="S53" s="9" t="e">
        <f>IF(ISNUMBER(SalesRaw[[#This Row],[OrderDate]]),SalesRaw[[#This Row],[OrderDate]],DATEVALUE(SalesRaw[[#This Row],[OrderDate]]))</f>
        <v>#VALUE!</v>
      </c>
      <c r="T53" t="str">
        <f>PROPER(TRIM(SalesRaw[[#This Row],[PaymentMethod]]))</f>
        <v>Bank Transfer</v>
      </c>
      <c r="U53" t="e">
        <f>TEXT(S53,"mmmm")</f>
        <v>#VALUE!</v>
      </c>
      <c r="V53" t="e">
        <f>TEXT(S53,"dddd")</f>
        <v>#VALUE!</v>
      </c>
    </row>
    <row r="54" spans="1:22" ht="15.75" customHeight="1" x14ac:dyDescent="0.35">
      <c r="A54" s="1">
        <v>100021</v>
      </c>
      <c r="B54" s="2">
        <v>45907</v>
      </c>
      <c r="C54" s="1" t="s">
        <v>100</v>
      </c>
      <c r="D54" s="1" t="s">
        <v>101</v>
      </c>
      <c r="E54" s="1" t="s">
        <v>102</v>
      </c>
      <c r="F54" s="1" t="s">
        <v>103</v>
      </c>
      <c r="G54" s="1" t="s">
        <v>16</v>
      </c>
      <c r="H54" s="1" t="s">
        <v>17</v>
      </c>
      <c r="I54" s="1">
        <v>2</v>
      </c>
      <c r="J54" s="1">
        <v>49.99</v>
      </c>
      <c r="K54" s="1">
        <v>99.98</v>
      </c>
      <c r="L54" s="1" t="s">
        <v>18</v>
      </c>
      <c r="M54" t="str">
        <f>PROPER(TRIM(SalesRaw[[#This Row],[City]]))</f>
        <v>Nottingham</v>
      </c>
      <c r="N54" t="str">
        <f>_xlfn.TEXTBEFORE(SalesRaw[[#This Row],[CustomerName]]," ")</f>
        <v>Isla</v>
      </c>
      <c r="O54" t="str">
        <f>_xlfn.TEXTAFTER(SalesRaw[[#This Row],[CustomerName]]," ")</f>
        <v>Patel</v>
      </c>
      <c r="P54" t="str">
        <f>_xlfn.TEXTAFTER(SalesRaw[[#This Row],[Email]],"@")</f>
        <v>examplemail.com</v>
      </c>
      <c r="Q54" s="7">
        <f>_xlfn.NUMBERVALUE(SUBSTITUTE(SUBSTITUTE(SalesRaw[[#This Row],[UnitPrice]],"£",""),",",""))</f>
        <v>49.99</v>
      </c>
      <c r="R54" s="7">
        <f>_xlfn.NUMBERVALUE(SUBSTITUTE(SUBSTITUTE(SalesRaw[[#This Row],[Revenue]],"£",""),",",""))</f>
        <v>99.98</v>
      </c>
      <c r="S54" s="9">
        <f>IF(ISNUMBER(SalesRaw[[#This Row],[OrderDate]]),SalesRaw[[#This Row],[OrderDate]],DATEVALUE(SalesRaw[[#This Row],[OrderDate]]))</f>
        <v>45907</v>
      </c>
      <c r="T54" t="str">
        <f>PROPER(TRIM(SalesRaw[[#This Row],[PaymentMethod]]))</f>
        <v>Card</v>
      </c>
      <c r="U54" t="str">
        <f>TEXT(S54,"mmmm")</f>
        <v>September</v>
      </c>
      <c r="V54" t="str">
        <f>TEXT(S54,"dddd")</f>
        <v>Sunday</v>
      </c>
    </row>
    <row r="55" spans="1:22" ht="15.75" customHeight="1" x14ac:dyDescent="0.35">
      <c r="A55" s="1">
        <v>100057</v>
      </c>
      <c r="B55" s="2">
        <v>45924</v>
      </c>
      <c r="C55" s="1" t="s">
        <v>184</v>
      </c>
      <c r="D55" s="1" t="s">
        <v>185</v>
      </c>
      <c r="E55" s="1" t="s">
        <v>34</v>
      </c>
      <c r="F55" s="1" t="s">
        <v>15</v>
      </c>
      <c r="G55" s="1" t="s">
        <v>119</v>
      </c>
      <c r="H55" s="1" t="s">
        <v>30</v>
      </c>
      <c r="I55" s="1">
        <v>2</v>
      </c>
      <c r="J55" s="1">
        <v>49.99</v>
      </c>
      <c r="K55" s="1" t="s">
        <v>186</v>
      </c>
      <c r="L55" s="1" t="s">
        <v>43</v>
      </c>
      <c r="M55" t="str">
        <f>PROPER(TRIM(SalesRaw[[#This Row],[City]]))</f>
        <v>Leeds</v>
      </c>
      <c r="N55" t="str">
        <f>_xlfn.TEXTBEFORE(SalesRaw[[#This Row],[CustomerName]]," ")</f>
        <v>Hassan</v>
      </c>
      <c r="O55" t="str">
        <f>_xlfn.TEXTAFTER(SalesRaw[[#This Row],[CustomerName]]," ")</f>
        <v>Davis</v>
      </c>
      <c r="P55" t="str">
        <f>_xlfn.TEXTAFTER(SalesRaw[[#This Row],[Email]],"@")</f>
        <v>examplemail.com</v>
      </c>
      <c r="Q55" s="7">
        <f>_xlfn.NUMBERVALUE(SUBSTITUTE(SUBSTITUTE(SalesRaw[[#This Row],[UnitPrice]],"£",""),",",""))</f>
        <v>49.99</v>
      </c>
      <c r="R55" s="7">
        <f>_xlfn.NUMBERVALUE(SUBSTITUTE(SUBSTITUTE(SalesRaw[[#This Row],[Revenue]],"£",""),",",""))</f>
        <v>99.98</v>
      </c>
      <c r="S55" s="9">
        <f>IF(ISNUMBER(SalesRaw[[#This Row],[OrderDate]]),SalesRaw[[#This Row],[OrderDate]],DATEVALUE(SalesRaw[[#This Row],[OrderDate]]))</f>
        <v>45924</v>
      </c>
      <c r="T55" t="str">
        <f>PROPER(TRIM(SalesRaw[[#This Row],[PaymentMethod]]))</f>
        <v>Cash</v>
      </c>
      <c r="U55" t="str">
        <f>TEXT(S55,"mmmm")</f>
        <v>September</v>
      </c>
      <c r="V55" t="str">
        <f>TEXT(S55,"dddd")</f>
        <v>Wednesday</v>
      </c>
    </row>
    <row r="56" spans="1:22" ht="15.75" customHeight="1" x14ac:dyDescent="0.35">
      <c r="A56" s="1">
        <v>100069</v>
      </c>
      <c r="B56" s="2">
        <v>45982</v>
      </c>
      <c r="C56" s="1" t="s">
        <v>208</v>
      </c>
      <c r="D56" s="1" t="s">
        <v>209</v>
      </c>
      <c r="E56" s="1" t="s">
        <v>210</v>
      </c>
      <c r="F56" s="1" t="s">
        <v>22</v>
      </c>
      <c r="G56" s="1" t="s">
        <v>37</v>
      </c>
      <c r="H56" s="1" t="s">
        <v>38</v>
      </c>
      <c r="I56" s="1">
        <v>2</v>
      </c>
      <c r="J56" s="1">
        <v>49.99</v>
      </c>
      <c r="K56" s="1">
        <v>99.98</v>
      </c>
      <c r="L56" s="1" t="s">
        <v>54</v>
      </c>
      <c r="M56" t="str">
        <f>PROPER(TRIM(SalesRaw[[#This Row],[City]]))</f>
        <v>Liverpool</v>
      </c>
      <c r="N56" t="str">
        <f>_xlfn.TEXTBEFORE(SalesRaw[[#This Row],[CustomerName]]," ")</f>
        <v>Grace</v>
      </c>
      <c r="O56" t="str">
        <f>_xlfn.TEXTAFTER(SalesRaw[[#This Row],[CustomerName]]," ")</f>
        <v>Ahmed</v>
      </c>
      <c r="P56" t="str">
        <f>_xlfn.TEXTAFTER(SalesRaw[[#This Row],[Email]],"@")</f>
        <v>examplemail.com</v>
      </c>
      <c r="Q56" s="7">
        <f>_xlfn.NUMBERVALUE(SUBSTITUTE(SUBSTITUTE(SalesRaw[[#This Row],[UnitPrice]],"£",""),",",""))</f>
        <v>49.99</v>
      </c>
      <c r="R56" s="7">
        <f>_xlfn.NUMBERVALUE(SUBSTITUTE(SUBSTITUTE(SalesRaw[[#This Row],[Revenue]],"£",""),",",""))</f>
        <v>99.98</v>
      </c>
      <c r="S56" s="9">
        <f>IF(ISNUMBER(SalesRaw[[#This Row],[OrderDate]]),SalesRaw[[#This Row],[OrderDate]],DATEVALUE(SalesRaw[[#This Row],[OrderDate]]))</f>
        <v>45982</v>
      </c>
      <c r="T56" t="str">
        <f>PROPER(TRIM(SalesRaw[[#This Row],[PaymentMethod]]))</f>
        <v>Bank Transfer</v>
      </c>
      <c r="U56" t="str">
        <f>TEXT(S56,"mmmm")</f>
        <v>November</v>
      </c>
      <c r="V56" t="str">
        <f>TEXT(S56,"dddd")</f>
        <v>Friday</v>
      </c>
    </row>
    <row r="57" spans="1:22" ht="15.75" customHeight="1" x14ac:dyDescent="0.35">
      <c r="A57" s="1">
        <v>100071</v>
      </c>
      <c r="B57" s="2">
        <v>45903</v>
      </c>
      <c r="C57" s="1" t="s">
        <v>214</v>
      </c>
      <c r="D57" s="1" t="s">
        <v>215</v>
      </c>
      <c r="E57" s="1" t="s">
        <v>57</v>
      </c>
      <c r="F57" s="1" t="s">
        <v>46</v>
      </c>
      <c r="G57" s="1" t="s">
        <v>42</v>
      </c>
      <c r="H57" s="1" t="s">
        <v>30</v>
      </c>
      <c r="I57" s="1">
        <v>2</v>
      </c>
      <c r="J57" s="1">
        <v>49.99</v>
      </c>
      <c r="K57" s="1">
        <v>99.98</v>
      </c>
      <c r="L57" s="1" t="s">
        <v>54</v>
      </c>
      <c r="M57" t="str">
        <f>PROPER(TRIM(SalesRaw[[#This Row],[City]]))</f>
        <v>Birmingham</v>
      </c>
      <c r="N57" t="str">
        <f>_xlfn.TEXTBEFORE(SalesRaw[[#This Row],[CustomerName]]," ")</f>
        <v>Ravi</v>
      </c>
      <c r="O57" t="str">
        <f>_xlfn.TEXTAFTER(SalesRaw[[#This Row],[CustomerName]]," ")</f>
        <v>Nguyen</v>
      </c>
      <c r="P57" t="str">
        <f>_xlfn.TEXTAFTER(SalesRaw[[#This Row],[Email]],"@")</f>
        <v>examplemail.com</v>
      </c>
      <c r="Q57" s="7">
        <f>_xlfn.NUMBERVALUE(SUBSTITUTE(SUBSTITUTE(SalesRaw[[#This Row],[UnitPrice]],"£",""),",",""))</f>
        <v>49.99</v>
      </c>
      <c r="R57" s="7">
        <f>_xlfn.NUMBERVALUE(SUBSTITUTE(SUBSTITUTE(SalesRaw[[#This Row],[Revenue]],"£",""),",",""))</f>
        <v>99.98</v>
      </c>
      <c r="S57" s="9">
        <f>IF(ISNUMBER(SalesRaw[[#This Row],[OrderDate]]),SalesRaw[[#This Row],[OrderDate]],DATEVALUE(SalesRaw[[#This Row],[OrderDate]]))</f>
        <v>45903</v>
      </c>
      <c r="T57" t="str">
        <f>PROPER(TRIM(SalesRaw[[#This Row],[PaymentMethod]]))</f>
        <v>Bank Transfer</v>
      </c>
      <c r="U57" t="str">
        <f>TEXT(S57,"mmmm")</f>
        <v>September</v>
      </c>
      <c r="V57" t="str">
        <f>TEXT(S57,"dddd")</f>
        <v>Wednesday</v>
      </c>
    </row>
    <row r="58" spans="1:22" ht="15.75" customHeight="1" x14ac:dyDescent="0.35">
      <c r="A58" s="1">
        <v>100089</v>
      </c>
      <c r="B58" s="1" t="s">
        <v>249</v>
      </c>
      <c r="C58" s="1" t="s">
        <v>250</v>
      </c>
      <c r="D58" s="1" t="s">
        <v>251</v>
      </c>
      <c r="E58" t="s">
        <v>357</v>
      </c>
      <c r="F58" s="1" t="s">
        <v>61</v>
      </c>
      <c r="G58" s="1" t="s">
        <v>37</v>
      </c>
      <c r="H58" s="1" t="s">
        <v>38</v>
      </c>
      <c r="I58" s="1">
        <v>2</v>
      </c>
      <c r="J58" s="1">
        <v>49.99</v>
      </c>
      <c r="K58" s="1">
        <v>99.98</v>
      </c>
      <c r="L58" s="1" t="s">
        <v>18</v>
      </c>
      <c r="M58" t="str">
        <f>PROPER(TRIM(SalesRaw[[#This Row],[City]]))</f>
        <v>Unknown</v>
      </c>
      <c r="N58" t="str">
        <f>_xlfn.TEXTBEFORE(SalesRaw[[#This Row],[CustomerName]]," ")</f>
        <v>Isla</v>
      </c>
      <c r="O58" t="str">
        <f>_xlfn.TEXTAFTER(SalesRaw[[#This Row],[CustomerName]]," ")</f>
        <v>Evans</v>
      </c>
      <c r="P58" t="str">
        <f>_xlfn.TEXTAFTER(SalesRaw[[#This Row],[Email]],"@")</f>
        <v>examplemail.com</v>
      </c>
      <c r="Q58" s="7">
        <f>_xlfn.NUMBERVALUE(SUBSTITUTE(SUBSTITUTE(SalesRaw[[#This Row],[UnitPrice]],"£",""),",",""))</f>
        <v>49.99</v>
      </c>
      <c r="R58" s="7">
        <f>_xlfn.NUMBERVALUE(SUBSTITUTE(SUBSTITUTE(SalesRaw[[#This Row],[Revenue]],"£",""),",",""))</f>
        <v>99.98</v>
      </c>
      <c r="S58" s="9">
        <f>IF(ISNUMBER(SalesRaw[[#This Row],[OrderDate]]),SalesRaw[[#This Row],[OrderDate]],DATEVALUE(SalesRaw[[#This Row],[OrderDate]]))</f>
        <v>45960</v>
      </c>
      <c r="T58" t="str">
        <f>PROPER(TRIM(SalesRaw[[#This Row],[PaymentMethod]]))</f>
        <v>Card</v>
      </c>
      <c r="U58" t="str">
        <f>TEXT(S58,"mmmm")</f>
        <v>October</v>
      </c>
      <c r="V58" t="str">
        <f>TEXT(S58,"dddd")</f>
        <v>Thursday</v>
      </c>
    </row>
    <row r="59" spans="1:22" ht="15.75" customHeight="1" x14ac:dyDescent="0.35">
      <c r="A59" s="1">
        <v>100116</v>
      </c>
      <c r="B59" s="2">
        <v>45953</v>
      </c>
      <c r="C59" s="1" t="s">
        <v>303</v>
      </c>
      <c r="D59" s="1" t="s">
        <v>304</v>
      </c>
      <c r="E59" s="1" t="s">
        <v>28</v>
      </c>
      <c r="F59" s="1" t="s">
        <v>28</v>
      </c>
      <c r="G59" s="1" t="s">
        <v>122</v>
      </c>
      <c r="H59" s="1" t="s">
        <v>30</v>
      </c>
      <c r="I59" s="1">
        <v>2</v>
      </c>
      <c r="J59" s="1">
        <v>49.99</v>
      </c>
      <c r="K59" s="1">
        <v>99.98</v>
      </c>
      <c r="L59" s="1" t="s">
        <v>43</v>
      </c>
      <c r="M59" t="str">
        <f>PROPER(TRIM(SalesRaw[[#This Row],[City]]))</f>
        <v>London</v>
      </c>
      <c r="N59" t="str">
        <f>_xlfn.TEXTBEFORE(SalesRaw[[#This Row],[CustomerName]]," ")</f>
        <v>Maya</v>
      </c>
      <c r="O59" t="str">
        <f>_xlfn.TEXTAFTER(SalesRaw[[#This Row],[CustomerName]]," ")</f>
        <v>Lewis</v>
      </c>
      <c r="P59" t="str">
        <f>_xlfn.TEXTAFTER(SalesRaw[[#This Row],[Email]],"@")</f>
        <v>examplemail.com</v>
      </c>
      <c r="Q59" s="7">
        <f>_xlfn.NUMBERVALUE(SUBSTITUTE(SUBSTITUTE(SalesRaw[[#This Row],[UnitPrice]],"£",""),",",""))</f>
        <v>49.99</v>
      </c>
      <c r="R59" s="7">
        <f>_xlfn.NUMBERVALUE(SUBSTITUTE(SUBSTITUTE(SalesRaw[[#This Row],[Revenue]],"£",""),",",""))</f>
        <v>99.98</v>
      </c>
      <c r="S59" s="9">
        <f>IF(ISNUMBER(SalesRaw[[#This Row],[OrderDate]]),SalesRaw[[#This Row],[OrderDate]],DATEVALUE(SalesRaw[[#This Row],[OrderDate]]))</f>
        <v>45953</v>
      </c>
      <c r="T59" t="str">
        <f>PROPER(TRIM(SalesRaw[[#This Row],[PaymentMethod]]))</f>
        <v>Cash</v>
      </c>
      <c r="U59" t="str">
        <f>TEXT(S59,"mmmm")</f>
        <v>October</v>
      </c>
      <c r="V59" t="str">
        <f>TEXT(S59,"dddd")</f>
        <v>Thursday</v>
      </c>
    </row>
    <row r="60" spans="1:22" ht="15.75" customHeight="1" x14ac:dyDescent="0.35">
      <c r="A60" s="1">
        <v>100139</v>
      </c>
      <c r="B60" s="2">
        <v>45905</v>
      </c>
      <c r="C60" s="1" t="s">
        <v>348</v>
      </c>
      <c r="D60" s="1" t="s">
        <v>349</v>
      </c>
      <c r="E60" s="1" t="s">
        <v>336</v>
      </c>
      <c r="F60" s="1" t="s">
        <v>61</v>
      </c>
      <c r="G60" s="1" t="s">
        <v>29</v>
      </c>
      <c r="H60" s="1" t="s">
        <v>30</v>
      </c>
      <c r="I60" s="1" t="s">
        <v>350</v>
      </c>
      <c r="J60" s="1">
        <v>49.99</v>
      </c>
      <c r="K60" s="1">
        <v>99.98</v>
      </c>
      <c r="L60" s="1" t="s">
        <v>18</v>
      </c>
      <c r="M60" t="str">
        <f>PROPER(TRIM(SalesRaw[[#This Row],[City]]))</f>
        <v>Edinburgh</v>
      </c>
      <c r="N60" t="str">
        <f>_xlfn.TEXTBEFORE(SalesRaw[[#This Row],[CustomerName]]," ")</f>
        <v>Xavier</v>
      </c>
      <c r="O60" t="str">
        <f>_xlfn.TEXTAFTER(SalesRaw[[#This Row],[CustomerName]]," ")</f>
        <v>Quinn</v>
      </c>
      <c r="P60" t="str">
        <f>_xlfn.TEXTAFTER(SalesRaw[[#This Row],[Email]],"@")</f>
        <v>examplemail.com</v>
      </c>
      <c r="Q60" s="7">
        <f>_xlfn.NUMBERVALUE(SUBSTITUTE(SUBSTITUTE(SalesRaw[[#This Row],[UnitPrice]],"£",""),",",""))</f>
        <v>49.99</v>
      </c>
      <c r="R60" s="7">
        <f>_xlfn.NUMBERVALUE(SUBSTITUTE(SUBSTITUTE(SalesRaw[[#This Row],[Revenue]],"£",""),",",""))</f>
        <v>99.98</v>
      </c>
      <c r="S60" s="9">
        <f>IF(ISNUMBER(SalesRaw[[#This Row],[OrderDate]]),SalesRaw[[#This Row],[OrderDate]],DATEVALUE(SalesRaw[[#This Row],[OrderDate]]))</f>
        <v>45905</v>
      </c>
      <c r="T60" t="str">
        <f>PROPER(TRIM(SalesRaw[[#This Row],[PaymentMethod]]))</f>
        <v>Card</v>
      </c>
      <c r="U60" t="str">
        <f>TEXT(S60,"mmmm")</f>
        <v>September</v>
      </c>
      <c r="V60" t="str">
        <f>TEXT(S60,"dddd")</f>
        <v>Friday</v>
      </c>
    </row>
    <row r="61" spans="1:22" ht="15.75" customHeight="1" x14ac:dyDescent="0.35">
      <c r="A61" s="1">
        <v>100086</v>
      </c>
      <c r="B61" s="2">
        <v>45921</v>
      </c>
      <c r="C61" s="1" t="s">
        <v>242</v>
      </c>
      <c r="D61" s="1" t="s">
        <v>243</v>
      </c>
      <c r="E61" s="1" t="s">
        <v>244</v>
      </c>
      <c r="F61" s="1" t="s">
        <v>15</v>
      </c>
      <c r="G61" s="1" t="s">
        <v>29</v>
      </c>
      <c r="H61" s="1" t="s">
        <v>30</v>
      </c>
      <c r="I61" s="1">
        <v>3</v>
      </c>
      <c r="J61" s="1">
        <v>29.99</v>
      </c>
      <c r="K61" s="1">
        <v>89.97</v>
      </c>
      <c r="L61" s="1" t="s">
        <v>43</v>
      </c>
      <c r="M61" t="str">
        <f>PROPER(TRIM(SalesRaw[[#This Row],[City]]))</f>
        <v>Sheffield</v>
      </c>
      <c r="N61" t="str">
        <f>_xlfn.TEXTBEFORE(SalesRaw[[#This Row],[CustomerName]]," ")</f>
        <v>Victor</v>
      </c>
      <c r="O61" t="str">
        <f>_xlfn.TEXTAFTER(SalesRaw[[#This Row],[CustomerName]]," ")</f>
        <v>Hughes</v>
      </c>
      <c r="P61" t="str">
        <f>_xlfn.TEXTAFTER(SalesRaw[[#This Row],[Email]],"@")</f>
        <v>examplemail.com</v>
      </c>
      <c r="Q61" s="7">
        <f>_xlfn.NUMBERVALUE(SUBSTITUTE(SUBSTITUTE(SalesRaw[[#This Row],[UnitPrice]],"£",""),",",""))</f>
        <v>29.99</v>
      </c>
      <c r="R61" s="7">
        <f>_xlfn.NUMBERVALUE(SUBSTITUTE(SUBSTITUTE(SalesRaw[[#This Row],[Revenue]],"£",""),",",""))</f>
        <v>89.97</v>
      </c>
      <c r="S61" s="9">
        <f>IF(ISNUMBER(SalesRaw[[#This Row],[OrderDate]]),SalesRaw[[#This Row],[OrderDate]],DATEVALUE(SalesRaw[[#This Row],[OrderDate]]))</f>
        <v>45921</v>
      </c>
      <c r="T61" t="str">
        <f>PROPER(TRIM(SalesRaw[[#This Row],[PaymentMethod]]))</f>
        <v>Cash</v>
      </c>
      <c r="U61" t="str">
        <f>TEXT(S61,"mmmm")</f>
        <v>September</v>
      </c>
      <c r="V61" t="str">
        <f>TEXT(S61,"dddd")</f>
        <v>Sunday</v>
      </c>
    </row>
    <row r="62" spans="1:22" ht="15.75" customHeight="1" x14ac:dyDescent="0.35">
      <c r="A62" s="1">
        <v>100016</v>
      </c>
      <c r="B62" s="2">
        <v>45908</v>
      </c>
      <c r="C62" s="1" t="s">
        <v>87</v>
      </c>
      <c r="D62" s="1" t="s">
        <v>88</v>
      </c>
      <c r="E62" s="1" t="s">
        <v>14</v>
      </c>
      <c r="F62" s="1" t="s">
        <v>15</v>
      </c>
      <c r="G62" s="1" t="s">
        <v>89</v>
      </c>
      <c r="H62" s="1" t="s">
        <v>38</v>
      </c>
      <c r="I62" s="1">
        <v>1</v>
      </c>
      <c r="J62" s="1">
        <v>79.989999999999995</v>
      </c>
      <c r="K62" s="1">
        <v>79.989999999999995</v>
      </c>
      <c r="L62" s="1" t="s">
        <v>54</v>
      </c>
      <c r="M62" t="str">
        <f>PROPER(TRIM(SalesRaw[[#This Row],[City]]))</f>
        <v>Sheffield</v>
      </c>
      <c r="N62" t="str">
        <f>_xlfn.TEXTBEFORE(SalesRaw[[#This Row],[CustomerName]]," ")</f>
        <v>Daniel</v>
      </c>
      <c r="O62" t="str">
        <f>_xlfn.TEXTAFTER(SalesRaw[[#This Row],[CustomerName]]," ")</f>
        <v>Quinn</v>
      </c>
      <c r="P62" t="str">
        <f>_xlfn.TEXTAFTER(SalesRaw[[#This Row],[Email]],"@")</f>
        <v>examplemail.com</v>
      </c>
      <c r="Q62" s="7">
        <f>_xlfn.NUMBERVALUE(SUBSTITUTE(SUBSTITUTE(SalesRaw[[#This Row],[UnitPrice]],"£",""),",",""))</f>
        <v>79.989999999999995</v>
      </c>
      <c r="R62" s="7">
        <f>_xlfn.NUMBERVALUE(SUBSTITUTE(SUBSTITUTE(SalesRaw[[#This Row],[Revenue]],"£",""),",",""))</f>
        <v>79.989999999999995</v>
      </c>
      <c r="S62" s="9">
        <f>IF(ISNUMBER(SalesRaw[[#This Row],[OrderDate]]),SalesRaw[[#This Row],[OrderDate]],DATEVALUE(SalesRaw[[#This Row],[OrderDate]]))</f>
        <v>45908</v>
      </c>
      <c r="T62" t="str">
        <f>PROPER(TRIM(SalesRaw[[#This Row],[PaymentMethod]]))</f>
        <v>Bank Transfer</v>
      </c>
      <c r="U62" t="str">
        <f>TEXT(S62,"mmmm")</f>
        <v>September</v>
      </c>
      <c r="V62" t="str">
        <f>TEXT(S62,"dddd")</f>
        <v>Monday</v>
      </c>
    </row>
    <row r="63" spans="1:22" ht="15.75" customHeight="1" x14ac:dyDescent="0.35">
      <c r="A63" s="1">
        <v>100019</v>
      </c>
      <c r="B63" s="2">
        <v>45976</v>
      </c>
      <c r="C63" s="1" t="s">
        <v>94</v>
      </c>
      <c r="D63" s="1" t="s">
        <v>95</v>
      </c>
      <c r="E63" s="1" t="s">
        <v>96</v>
      </c>
      <c r="F63" s="1" t="s">
        <v>97</v>
      </c>
      <c r="G63" s="1" t="s">
        <v>53</v>
      </c>
      <c r="H63" s="1" t="s">
        <v>17</v>
      </c>
      <c r="I63" s="1">
        <v>1</v>
      </c>
      <c r="J63" s="1">
        <v>79.989999999999995</v>
      </c>
      <c r="K63" s="1">
        <v>79.989999999999995</v>
      </c>
      <c r="L63" s="1" t="s">
        <v>31</v>
      </c>
      <c r="M63" t="str">
        <f>PROPER(TRIM(SalesRaw[[#This Row],[City]]))</f>
        <v>Bristol</v>
      </c>
      <c r="N63" t="str">
        <f>_xlfn.TEXTBEFORE(SalesRaw[[#This Row],[CustomerName]]," ")</f>
        <v>Kemi</v>
      </c>
      <c r="O63" t="str">
        <f>_xlfn.TEXTAFTER(SalesRaw[[#This Row],[CustomerName]]," ")</f>
        <v>Williams</v>
      </c>
      <c r="P63" t="str">
        <f>_xlfn.TEXTAFTER(SalesRaw[[#This Row],[Email]],"@")</f>
        <v>examplemail.com</v>
      </c>
      <c r="Q63" s="7">
        <f>_xlfn.NUMBERVALUE(SUBSTITUTE(SUBSTITUTE(SalesRaw[[#This Row],[UnitPrice]],"£",""),",",""))</f>
        <v>79.989999999999995</v>
      </c>
      <c r="R63" s="7">
        <f>_xlfn.NUMBERVALUE(SUBSTITUTE(SUBSTITUTE(SalesRaw[[#This Row],[Revenue]],"£",""),",",""))</f>
        <v>79.989999999999995</v>
      </c>
      <c r="S63" s="9">
        <f>IF(ISNUMBER(SalesRaw[[#This Row],[OrderDate]]),SalesRaw[[#This Row],[OrderDate]],DATEVALUE(SalesRaw[[#This Row],[OrderDate]]))</f>
        <v>45976</v>
      </c>
      <c r="T63" t="str">
        <f>PROPER(TRIM(SalesRaw[[#This Row],[PaymentMethod]]))</f>
        <v>Paypal</v>
      </c>
      <c r="U63" t="str">
        <f>TEXT(S63,"mmmm")</f>
        <v>November</v>
      </c>
      <c r="V63" t="str">
        <f>TEXT(S63,"dddd")</f>
        <v>Saturday</v>
      </c>
    </row>
    <row r="64" spans="1:22" ht="15.75" customHeight="1" x14ac:dyDescent="0.35">
      <c r="A64" s="1">
        <v>100030</v>
      </c>
      <c r="B64" s="2">
        <v>45954</v>
      </c>
      <c r="C64" s="1" t="s">
        <v>124</v>
      </c>
      <c r="D64" s="1" t="s">
        <v>125</v>
      </c>
      <c r="E64" s="1" t="s">
        <v>34</v>
      </c>
      <c r="F64" s="1" t="s">
        <v>15</v>
      </c>
      <c r="G64" s="1" t="s">
        <v>89</v>
      </c>
      <c r="H64" s="1" t="s">
        <v>38</v>
      </c>
      <c r="I64" s="1">
        <v>1</v>
      </c>
      <c r="J64" s="1">
        <v>79.989999999999995</v>
      </c>
      <c r="K64" s="1">
        <v>79.989999999999995</v>
      </c>
      <c r="L64" s="1" t="s">
        <v>18</v>
      </c>
      <c r="M64" t="str">
        <f>PROPER(TRIM(SalesRaw[[#This Row],[City]]))</f>
        <v>Leeds</v>
      </c>
      <c r="N64" t="str">
        <f>_xlfn.TEXTBEFORE(SalesRaw[[#This Row],[CustomerName]]," ")</f>
        <v>Victor</v>
      </c>
      <c r="O64" t="str">
        <f>_xlfn.TEXTAFTER(SalesRaw[[#This Row],[CustomerName]]," ")</f>
        <v>Martin</v>
      </c>
      <c r="P64" t="str">
        <f>_xlfn.TEXTAFTER(SalesRaw[[#This Row],[Email]],"@")</f>
        <v>examplemail.com</v>
      </c>
      <c r="Q64" s="7">
        <f>_xlfn.NUMBERVALUE(SUBSTITUTE(SUBSTITUTE(SalesRaw[[#This Row],[UnitPrice]],"£",""),",",""))</f>
        <v>79.989999999999995</v>
      </c>
      <c r="R64" s="7">
        <f>_xlfn.NUMBERVALUE(SUBSTITUTE(SUBSTITUTE(SalesRaw[[#This Row],[Revenue]],"£",""),",",""))</f>
        <v>79.989999999999995</v>
      </c>
      <c r="S64" s="9">
        <f>IF(ISNUMBER(SalesRaw[[#This Row],[OrderDate]]),SalesRaw[[#This Row],[OrderDate]],DATEVALUE(SalesRaw[[#This Row],[OrderDate]]))</f>
        <v>45954</v>
      </c>
      <c r="T64" t="str">
        <f>PROPER(TRIM(SalesRaw[[#This Row],[PaymentMethod]]))</f>
        <v>Card</v>
      </c>
      <c r="U64" t="str">
        <f>TEXT(S64,"mmmm")</f>
        <v>October</v>
      </c>
      <c r="V64" t="str">
        <f>TEXT(S64,"dddd")</f>
        <v>Friday</v>
      </c>
    </row>
    <row r="65" spans="1:22" ht="15.75" customHeight="1" x14ac:dyDescent="0.35">
      <c r="A65" s="1">
        <v>100061</v>
      </c>
      <c r="B65" s="2">
        <v>45920</v>
      </c>
      <c r="C65" s="1" t="s">
        <v>194</v>
      </c>
      <c r="D65" s="1" t="s">
        <v>195</v>
      </c>
      <c r="E65" s="1" t="s">
        <v>14</v>
      </c>
      <c r="F65" s="1" t="s">
        <v>15</v>
      </c>
      <c r="G65" s="1" t="s">
        <v>70</v>
      </c>
      <c r="H65" s="1" t="s">
        <v>30</v>
      </c>
      <c r="I65" s="1">
        <v>1</v>
      </c>
      <c r="J65" s="1">
        <v>79.989999999999995</v>
      </c>
      <c r="K65" s="1">
        <v>79.989999999999995</v>
      </c>
      <c r="L65" s="1" t="s">
        <v>54</v>
      </c>
      <c r="M65" t="str">
        <f>PROPER(TRIM(SalesRaw[[#This Row],[City]]))</f>
        <v>Sheffield</v>
      </c>
      <c r="N65" t="str">
        <f>_xlfn.TEXTBEFORE(SalesRaw[[#This Row],[CustomerName]]," ")</f>
        <v>Priya</v>
      </c>
      <c r="O65" t="str">
        <f>_xlfn.TEXTAFTER(SalesRaw[[#This Row],[CustomerName]]," ")</f>
        <v>Foster</v>
      </c>
      <c r="P65" t="str">
        <f>_xlfn.TEXTAFTER(SalesRaw[[#This Row],[Email]],"@")</f>
        <v>examplemail.com</v>
      </c>
      <c r="Q65" s="7">
        <f>_xlfn.NUMBERVALUE(SUBSTITUTE(SUBSTITUTE(SalesRaw[[#This Row],[UnitPrice]],"£",""),",",""))</f>
        <v>79.989999999999995</v>
      </c>
      <c r="R65" s="7">
        <f>_xlfn.NUMBERVALUE(SUBSTITUTE(SUBSTITUTE(SalesRaw[[#This Row],[Revenue]],"£",""),",",""))</f>
        <v>79.989999999999995</v>
      </c>
      <c r="S65" s="9">
        <f>IF(ISNUMBER(SalesRaw[[#This Row],[OrderDate]]),SalesRaw[[#This Row],[OrderDate]],DATEVALUE(SalesRaw[[#This Row],[OrderDate]]))</f>
        <v>45920</v>
      </c>
      <c r="T65" t="str">
        <f>PROPER(TRIM(SalesRaw[[#This Row],[PaymentMethod]]))</f>
        <v>Bank Transfer</v>
      </c>
      <c r="U65" t="str">
        <f>TEXT(S65,"mmmm")</f>
        <v>September</v>
      </c>
      <c r="V65" t="str">
        <f>TEXT(S65,"dddd")</f>
        <v>Saturday</v>
      </c>
    </row>
    <row r="66" spans="1:22" ht="15.75" customHeight="1" x14ac:dyDescent="0.35">
      <c r="A66" s="1">
        <v>100093</v>
      </c>
      <c r="B66" s="1" t="s">
        <v>260</v>
      </c>
      <c r="C66" s="1" t="s">
        <v>261</v>
      </c>
      <c r="D66" s="1" t="s">
        <v>262</v>
      </c>
      <c r="E66" s="1" t="s">
        <v>96</v>
      </c>
      <c r="F66" s="1" t="s">
        <v>97</v>
      </c>
      <c r="G66" s="1" t="s">
        <v>42</v>
      </c>
      <c r="H66" s="1" t="s">
        <v>30</v>
      </c>
      <c r="I66" s="1">
        <v>1</v>
      </c>
      <c r="J66" s="1">
        <v>79.989999999999995</v>
      </c>
      <c r="K66" s="1">
        <v>79.989999999999995</v>
      </c>
      <c r="L66" s="1" t="s">
        <v>54</v>
      </c>
      <c r="M66" t="str">
        <f>PROPER(TRIM(SalesRaw[[#This Row],[City]]))</f>
        <v>Bristol</v>
      </c>
      <c r="N66" t="str">
        <f>_xlfn.TEXTBEFORE(SalesRaw[[#This Row],[CustomerName]]," ")</f>
        <v>Chloe</v>
      </c>
      <c r="O66" t="str">
        <f>_xlfn.TEXTAFTER(SalesRaw[[#This Row],[CustomerName]]," ")</f>
        <v>Xu</v>
      </c>
      <c r="P66" t="str">
        <f>_xlfn.TEXTAFTER(SalesRaw[[#This Row],[Email]],"@")</f>
        <v>examplemail.com</v>
      </c>
      <c r="Q66" s="7">
        <f>_xlfn.NUMBERVALUE(SUBSTITUTE(SUBSTITUTE(SalesRaw[[#This Row],[UnitPrice]],"£",""),",",""))</f>
        <v>79.989999999999995</v>
      </c>
      <c r="R66" s="7">
        <f>_xlfn.NUMBERVALUE(SUBSTITUTE(SUBSTITUTE(SalesRaw[[#This Row],[Revenue]],"£",""),",",""))</f>
        <v>79.989999999999995</v>
      </c>
      <c r="S66" s="9">
        <f>IF(ISNUMBER(SalesRaw[[#This Row],[OrderDate]]),SalesRaw[[#This Row],[OrderDate]],DATEVALUE(SalesRaw[[#This Row],[OrderDate]]))</f>
        <v>45944</v>
      </c>
      <c r="T66" t="str">
        <f>PROPER(TRIM(SalesRaw[[#This Row],[PaymentMethod]]))</f>
        <v>Bank Transfer</v>
      </c>
      <c r="U66" t="str">
        <f>TEXT(S66,"mmmm")</f>
        <v>October</v>
      </c>
      <c r="V66" t="str">
        <f>TEXT(S66,"dddd")</f>
        <v>Tuesday</v>
      </c>
    </row>
    <row r="67" spans="1:22" ht="15.75" customHeight="1" x14ac:dyDescent="0.35">
      <c r="A67" s="1">
        <v>100097</v>
      </c>
      <c r="B67" s="2">
        <v>45988</v>
      </c>
      <c r="C67" s="1" t="s">
        <v>268</v>
      </c>
      <c r="D67" s="1" t="s">
        <v>269</v>
      </c>
      <c r="E67" s="1" t="s">
        <v>81</v>
      </c>
      <c r="F67" s="1" t="s">
        <v>41</v>
      </c>
      <c r="G67" s="1" t="s">
        <v>47</v>
      </c>
      <c r="H67" s="1" t="s">
        <v>24</v>
      </c>
      <c r="I67" s="1">
        <v>1</v>
      </c>
      <c r="J67" s="1">
        <v>79.989999999999995</v>
      </c>
      <c r="K67" s="1">
        <v>79.989999999999995</v>
      </c>
      <c r="L67" s="1" t="s">
        <v>18</v>
      </c>
      <c r="M67" t="str">
        <f>PROPER(TRIM(SalesRaw[[#This Row],[City]]))</f>
        <v>Liverpool</v>
      </c>
      <c r="N67" t="str">
        <f>_xlfn.TEXTBEFORE(SalesRaw[[#This Row],[CustomerName]]," ")</f>
        <v>Daniel</v>
      </c>
      <c r="O67" t="str">
        <f>_xlfn.TEXTAFTER(SalesRaw[[#This Row],[CustomerName]]," ")</f>
        <v>Chen</v>
      </c>
      <c r="P67" t="str">
        <f>_xlfn.TEXTAFTER(SalesRaw[[#This Row],[Email]],"@")</f>
        <v>examplemail.com</v>
      </c>
      <c r="Q67" s="7">
        <f>_xlfn.NUMBERVALUE(SUBSTITUTE(SUBSTITUTE(SalesRaw[[#This Row],[UnitPrice]],"£",""),",",""))</f>
        <v>79.989999999999995</v>
      </c>
      <c r="R67" s="7">
        <f>_xlfn.NUMBERVALUE(SUBSTITUTE(SUBSTITUTE(SalesRaw[[#This Row],[Revenue]],"£",""),",",""))</f>
        <v>79.989999999999995</v>
      </c>
      <c r="S67" s="9">
        <f>IF(ISNUMBER(SalesRaw[[#This Row],[OrderDate]]),SalesRaw[[#This Row],[OrderDate]],DATEVALUE(SalesRaw[[#This Row],[OrderDate]]))</f>
        <v>45988</v>
      </c>
      <c r="T67" t="str">
        <f>PROPER(TRIM(SalesRaw[[#This Row],[PaymentMethod]]))</f>
        <v>Card</v>
      </c>
      <c r="U67" t="str">
        <f>TEXT(S67,"mmmm")</f>
        <v>November</v>
      </c>
      <c r="V67" t="str">
        <f>TEXT(S67,"dddd")</f>
        <v>Thursday</v>
      </c>
    </row>
    <row r="68" spans="1:22" ht="15.75" customHeight="1" x14ac:dyDescent="0.35">
      <c r="A68" s="1">
        <v>100101</v>
      </c>
      <c r="B68" s="2">
        <v>45904</v>
      </c>
      <c r="C68" s="1" t="s">
        <v>276</v>
      </c>
      <c r="D68" s="1" t="s">
        <v>277</v>
      </c>
      <c r="E68" s="1" t="s">
        <v>28</v>
      </c>
      <c r="F68" s="1" t="s">
        <v>28</v>
      </c>
      <c r="G68" s="1" t="s">
        <v>70</v>
      </c>
      <c r="H68" s="1" t="s">
        <v>30</v>
      </c>
      <c r="I68" s="1">
        <v>1</v>
      </c>
      <c r="J68" s="1">
        <v>79.989999999999995</v>
      </c>
      <c r="K68" s="1">
        <v>79.989999999999995</v>
      </c>
      <c r="L68" s="1" t="s">
        <v>43</v>
      </c>
      <c r="M68" t="str">
        <f>PROPER(TRIM(SalesRaw[[#This Row],[City]]))</f>
        <v>London</v>
      </c>
      <c r="N68" t="str">
        <f>_xlfn.TEXTBEFORE(SalesRaw[[#This Row],[CustomerName]]," ")</f>
        <v>Chloe</v>
      </c>
      <c r="O68" t="str">
        <f>_xlfn.TEXTAFTER(SalesRaw[[#This Row],[CustomerName]]," ")</f>
        <v>Iqbal</v>
      </c>
      <c r="P68" t="str">
        <f>_xlfn.TEXTAFTER(SalesRaw[[#This Row],[Email]],"@")</f>
        <v>examplemail.com</v>
      </c>
      <c r="Q68" s="7">
        <f>_xlfn.NUMBERVALUE(SUBSTITUTE(SUBSTITUTE(SalesRaw[[#This Row],[UnitPrice]],"£",""),",",""))</f>
        <v>79.989999999999995</v>
      </c>
      <c r="R68" s="7">
        <f>_xlfn.NUMBERVALUE(SUBSTITUTE(SUBSTITUTE(SalesRaw[[#This Row],[Revenue]],"£",""),",",""))</f>
        <v>79.989999999999995</v>
      </c>
      <c r="S68" s="9">
        <f>IF(ISNUMBER(SalesRaw[[#This Row],[OrderDate]]),SalesRaw[[#This Row],[OrderDate]],DATEVALUE(SalesRaw[[#This Row],[OrderDate]]))</f>
        <v>45904</v>
      </c>
      <c r="T68" t="str">
        <f>PROPER(TRIM(SalesRaw[[#This Row],[PaymentMethod]]))</f>
        <v>Cash</v>
      </c>
      <c r="U68" t="str">
        <f>TEXT(S68,"mmmm")</f>
        <v>September</v>
      </c>
      <c r="V68" t="str">
        <f>TEXT(S68,"dddd")</f>
        <v>Thursday</v>
      </c>
    </row>
    <row r="69" spans="1:22" ht="15.75" customHeight="1" x14ac:dyDescent="0.35">
      <c r="A69" s="1">
        <v>100134</v>
      </c>
      <c r="B69" s="2">
        <v>45948</v>
      </c>
      <c r="C69" s="1" t="s">
        <v>340</v>
      </c>
      <c r="D69" s="1" t="s">
        <v>341</v>
      </c>
      <c r="E69" s="1" t="s">
        <v>102</v>
      </c>
      <c r="F69" s="1" t="s">
        <v>103</v>
      </c>
      <c r="G69" s="1" t="s">
        <v>16</v>
      </c>
      <c r="H69" s="1" t="s">
        <v>17</v>
      </c>
      <c r="I69" s="1">
        <v>1</v>
      </c>
      <c r="J69" s="1">
        <v>79.989999999999995</v>
      </c>
      <c r="K69" s="1">
        <v>79.989999999999995</v>
      </c>
      <c r="L69" s="1" t="s">
        <v>43</v>
      </c>
      <c r="M69" t="str">
        <f>PROPER(TRIM(SalesRaw[[#This Row],[City]]))</f>
        <v>Nottingham</v>
      </c>
      <c r="N69" t="str">
        <f>_xlfn.TEXTBEFORE(SalesRaw[[#This Row],[CustomerName]]," ")</f>
        <v>Victor</v>
      </c>
      <c r="O69" t="str">
        <f>_xlfn.TEXTAFTER(SalesRaw[[#This Row],[CustomerName]]," ")</f>
        <v>Singh</v>
      </c>
      <c r="P69" t="str">
        <f>_xlfn.TEXTAFTER(SalesRaw[[#This Row],[Email]],"@")</f>
        <v>examplemail.com</v>
      </c>
      <c r="Q69" s="7">
        <f>_xlfn.NUMBERVALUE(SUBSTITUTE(SUBSTITUTE(SalesRaw[[#This Row],[UnitPrice]],"£",""),",",""))</f>
        <v>79.989999999999995</v>
      </c>
      <c r="R69" s="7">
        <f>_xlfn.NUMBERVALUE(SUBSTITUTE(SUBSTITUTE(SalesRaw[[#This Row],[Revenue]],"£",""),",",""))</f>
        <v>79.989999999999995</v>
      </c>
      <c r="S69" s="9">
        <f>IF(ISNUMBER(SalesRaw[[#This Row],[OrderDate]]),SalesRaw[[#This Row],[OrderDate]],DATEVALUE(SalesRaw[[#This Row],[OrderDate]]))</f>
        <v>45948</v>
      </c>
      <c r="T69" t="str">
        <f>PROPER(TRIM(SalesRaw[[#This Row],[PaymentMethod]]))</f>
        <v>Cash</v>
      </c>
      <c r="U69" t="str">
        <f>TEXT(S69,"mmmm")</f>
        <v>October</v>
      </c>
      <c r="V69" t="str">
        <f>TEXT(S69,"dddd")</f>
        <v>Saturday</v>
      </c>
    </row>
    <row r="70" spans="1:22" ht="15.75" customHeight="1" x14ac:dyDescent="0.35">
      <c r="A70" s="1">
        <v>100137</v>
      </c>
      <c r="B70" s="2">
        <v>45988</v>
      </c>
      <c r="C70" s="1" t="s">
        <v>344</v>
      </c>
      <c r="D70" s="1" t="s">
        <v>345</v>
      </c>
      <c r="E70" s="1" t="s">
        <v>137</v>
      </c>
      <c r="F70" s="1" t="s">
        <v>138</v>
      </c>
      <c r="G70" s="1" t="s">
        <v>82</v>
      </c>
      <c r="H70" s="1" t="s">
        <v>83</v>
      </c>
      <c r="I70" s="1">
        <v>1</v>
      </c>
      <c r="J70" s="1">
        <v>79.989999999999995</v>
      </c>
      <c r="K70" s="1">
        <v>79.989999999999995</v>
      </c>
      <c r="L70" s="1" t="s">
        <v>43</v>
      </c>
      <c r="M70" t="str">
        <f>PROPER(TRIM(SalesRaw[[#This Row],[City]]))</f>
        <v>Belfast</v>
      </c>
      <c r="N70" t="str">
        <f>_xlfn.TEXTBEFORE(SalesRaw[[#This Row],[CustomerName]]," ")</f>
        <v>Uma</v>
      </c>
      <c r="O70" t="str">
        <f>_xlfn.TEXTAFTER(SalesRaw[[#This Row],[CustomerName]]," ")</f>
        <v>Ahmed</v>
      </c>
      <c r="P70" t="str">
        <f>_xlfn.TEXTAFTER(SalesRaw[[#This Row],[Email]],"@")</f>
        <v>examplemail.com</v>
      </c>
      <c r="Q70" s="7">
        <f>_xlfn.NUMBERVALUE(SUBSTITUTE(SUBSTITUTE(SalesRaw[[#This Row],[UnitPrice]],"£",""),",",""))</f>
        <v>79.989999999999995</v>
      </c>
      <c r="R70" s="7">
        <f>_xlfn.NUMBERVALUE(SUBSTITUTE(SUBSTITUTE(SalesRaw[[#This Row],[Revenue]],"£",""),",",""))</f>
        <v>79.989999999999995</v>
      </c>
      <c r="S70" s="9">
        <f>IF(ISNUMBER(SalesRaw[[#This Row],[OrderDate]]),SalesRaw[[#This Row],[OrderDate]],DATEVALUE(SalesRaw[[#This Row],[OrderDate]]))</f>
        <v>45988</v>
      </c>
      <c r="T70" t="str">
        <f>PROPER(TRIM(SalesRaw[[#This Row],[PaymentMethod]]))</f>
        <v>Cash</v>
      </c>
      <c r="U70" t="str">
        <f>TEXT(S70,"mmmm")</f>
        <v>November</v>
      </c>
      <c r="V70" t="str">
        <f>TEXT(S70,"dddd")</f>
        <v>Thursday</v>
      </c>
    </row>
    <row r="71" spans="1:22" ht="15.75" customHeight="1" x14ac:dyDescent="0.35">
      <c r="A71" s="1">
        <v>100038</v>
      </c>
      <c r="B71" s="2">
        <v>45905</v>
      </c>
      <c r="C71" s="1" t="s">
        <v>143</v>
      </c>
      <c r="D71" s="1" t="s">
        <v>144</v>
      </c>
      <c r="E71" s="1" t="s">
        <v>57</v>
      </c>
      <c r="F71" s="1" t="s">
        <v>46</v>
      </c>
      <c r="G71" s="1" t="s">
        <v>29</v>
      </c>
      <c r="H71" s="1" t="s">
        <v>30</v>
      </c>
      <c r="I71" s="1">
        <v>2</v>
      </c>
      <c r="J71" s="1">
        <v>29.99</v>
      </c>
      <c r="K71" s="1">
        <v>59.98</v>
      </c>
      <c r="L71" s="1" t="s">
        <v>54</v>
      </c>
      <c r="M71" t="str">
        <f>PROPER(TRIM(SalesRaw[[#This Row],[City]]))</f>
        <v>Birmingham</v>
      </c>
      <c r="N71" t="str">
        <f>_xlfn.TEXTBEFORE(SalesRaw[[#This Row],[CustomerName]]," ")</f>
        <v>Grace</v>
      </c>
      <c r="O71" t="str">
        <f>_xlfn.TEXTAFTER(SalesRaw[[#This Row],[CustomerName]]," ")</f>
        <v>Osei</v>
      </c>
      <c r="P71" t="str">
        <f>_xlfn.TEXTAFTER(SalesRaw[[#This Row],[Email]],"@")</f>
        <v>examplemail.com</v>
      </c>
      <c r="Q71" s="7">
        <f>_xlfn.NUMBERVALUE(SUBSTITUTE(SUBSTITUTE(SalesRaw[[#This Row],[UnitPrice]],"£",""),",",""))</f>
        <v>29.99</v>
      </c>
      <c r="R71" s="7">
        <f>_xlfn.NUMBERVALUE(SUBSTITUTE(SUBSTITUTE(SalesRaw[[#This Row],[Revenue]],"£",""),",",""))</f>
        <v>59.98</v>
      </c>
      <c r="S71" s="9">
        <f>IF(ISNUMBER(SalesRaw[[#This Row],[OrderDate]]),SalesRaw[[#This Row],[OrderDate]],DATEVALUE(SalesRaw[[#This Row],[OrderDate]]))</f>
        <v>45905</v>
      </c>
      <c r="T71" t="str">
        <f>PROPER(TRIM(SalesRaw[[#This Row],[PaymentMethod]]))</f>
        <v>Bank Transfer</v>
      </c>
      <c r="U71" t="str">
        <f>TEXT(S71,"mmmm")</f>
        <v>September</v>
      </c>
      <c r="V71" t="str">
        <f>TEXT(S71,"dddd")</f>
        <v>Friday</v>
      </c>
    </row>
    <row r="72" spans="1:22" ht="15.75" customHeight="1" x14ac:dyDescent="0.35">
      <c r="A72" s="1">
        <v>100066</v>
      </c>
      <c r="B72" s="2">
        <v>45931</v>
      </c>
      <c r="C72" s="1" t="s">
        <v>202</v>
      </c>
      <c r="D72" s="1" t="s">
        <v>203</v>
      </c>
      <c r="E72" s="1" t="s">
        <v>57</v>
      </c>
      <c r="F72" s="1" t="s">
        <v>46</v>
      </c>
      <c r="G72" s="1" t="s">
        <v>82</v>
      </c>
      <c r="H72" s="1" t="s">
        <v>83</v>
      </c>
      <c r="I72" s="1">
        <v>2</v>
      </c>
      <c r="J72" s="1">
        <v>29.99</v>
      </c>
      <c r="K72" s="1">
        <v>59.98</v>
      </c>
      <c r="L72" s="1" t="s">
        <v>43</v>
      </c>
      <c r="M72" t="str">
        <f>PROPER(TRIM(SalesRaw[[#This Row],[City]]))</f>
        <v>Birmingham</v>
      </c>
      <c r="N72" t="str">
        <f>_xlfn.TEXTBEFORE(SalesRaw[[#This Row],[CustomerName]]," ")</f>
        <v>Victor</v>
      </c>
      <c r="O72" t="str">
        <f>_xlfn.TEXTAFTER(SalesRaw[[#This Row],[CustomerName]]," ")</f>
        <v>Lewis</v>
      </c>
      <c r="P72" t="str">
        <f>_xlfn.TEXTAFTER(SalesRaw[[#This Row],[Email]],"@")</f>
        <v>examplemail.com</v>
      </c>
      <c r="Q72" s="7">
        <f>_xlfn.NUMBERVALUE(SUBSTITUTE(SUBSTITUTE(SalesRaw[[#This Row],[UnitPrice]],"£",""),",",""))</f>
        <v>29.99</v>
      </c>
      <c r="R72" s="7">
        <f>_xlfn.NUMBERVALUE(SUBSTITUTE(SUBSTITUTE(SalesRaw[[#This Row],[Revenue]],"£",""),",",""))</f>
        <v>59.98</v>
      </c>
      <c r="S72" s="9">
        <f>IF(ISNUMBER(SalesRaw[[#This Row],[OrderDate]]),SalesRaw[[#This Row],[OrderDate]],DATEVALUE(SalesRaw[[#This Row],[OrderDate]]))</f>
        <v>45931</v>
      </c>
      <c r="T72" t="str">
        <f>PROPER(TRIM(SalesRaw[[#This Row],[PaymentMethod]]))</f>
        <v>Cash</v>
      </c>
      <c r="U72" t="str">
        <f>TEXT(S72,"mmmm")</f>
        <v>October</v>
      </c>
      <c r="V72" t="str">
        <f>TEXT(S72,"dddd")</f>
        <v>Wednesday</v>
      </c>
    </row>
    <row r="73" spans="1:22" ht="15.75" customHeight="1" x14ac:dyDescent="0.35">
      <c r="A73" s="1">
        <v>100122</v>
      </c>
      <c r="B73" s="2">
        <v>45987</v>
      </c>
      <c r="C73" s="1" t="s">
        <v>313</v>
      </c>
      <c r="D73" s="1" t="s">
        <v>314</v>
      </c>
      <c r="E73" s="1" t="s">
        <v>60</v>
      </c>
      <c r="F73" s="1" t="s">
        <v>61</v>
      </c>
      <c r="G73" s="1" t="s">
        <v>23</v>
      </c>
      <c r="H73" s="1" t="s">
        <v>24</v>
      </c>
      <c r="I73" s="1">
        <v>2</v>
      </c>
      <c r="J73" s="1">
        <v>29.99</v>
      </c>
      <c r="K73" s="1">
        <v>59.98</v>
      </c>
      <c r="L73" s="1" t="s">
        <v>43</v>
      </c>
      <c r="M73" t="str">
        <f>PROPER(TRIM(SalesRaw[[#This Row],[City]]))</f>
        <v>Edinburgh</v>
      </c>
      <c r="N73" t="str">
        <f>_xlfn.TEXTBEFORE(SalesRaw[[#This Row],[CustomerName]]," ")</f>
        <v>Liam</v>
      </c>
      <c r="O73" t="str">
        <f>_xlfn.TEXTAFTER(SalesRaw[[#This Row],[CustomerName]]," ")</f>
        <v>Khan</v>
      </c>
      <c r="P73" t="str">
        <f>_xlfn.TEXTAFTER(SalesRaw[[#This Row],[Email]],"@")</f>
        <v>examplemail.com</v>
      </c>
      <c r="Q73" s="7">
        <f>_xlfn.NUMBERVALUE(SUBSTITUTE(SUBSTITUTE(SalesRaw[[#This Row],[UnitPrice]],"£",""),",",""))</f>
        <v>29.99</v>
      </c>
      <c r="R73" s="7">
        <f>_xlfn.NUMBERVALUE(SUBSTITUTE(SUBSTITUTE(SalesRaw[[#This Row],[Revenue]],"£",""),",",""))</f>
        <v>59.98</v>
      </c>
      <c r="S73" s="9">
        <f>IF(ISNUMBER(SalesRaw[[#This Row],[OrderDate]]),SalesRaw[[#This Row],[OrderDate]],DATEVALUE(SalesRaw[[#This Row],[OrderDate]]))</f>
        <v>45987</v>
      </c>
      <c r="T73" t="str">
        <f>PROPER(TRIM(SalesRaw[[#This Row],[PaymentMethod]]))</f>
        <v>Cash</v>
      </c>
      <c r="U73" t="str">
        <f>TEXT(S73,"mmmm")</f>
        <v>November</v>
      </c>
      <c r="V73" t="str">
        <f>TEXT(S73,"dddd")</f>
        <v>Wednesday</v>
      </c>
    </row>
    <row r="74" spans="1:22" ht="15.75" customHeight="1" x14ac:dyDescent="0.35">
      <c r="A74" s="1">
        <v>100020</v>
      </c>
      <c r="B74" s="2">
        <v>45956</v>
      </c>
      <c r="C74" s="1" t="s">
        <v>98</v>
      </c>
      <c r="D74" s="1" t="s">
        <v>99</v>
      </c>
      <c r="E74" s="1" t="s">
        <v>74</v>
      </c>
      <c r="F74" s="1" t="s">
        <v>61</v>
      </c>
      <c r="G74" s="1" t="s">
        <v>29</v>
      </c>
      <c r="H74" s="1" t="s">
        <v>30</v>
      </c>
      <c r="I74" s="1">
        <v>3</v>
      </c>
      <c r="J74" s="1">
        <v>19.989999999999998</v>
      </c>
      <c r="K74" s="1">
        <v>59.97</v>
      </c>
      <c r="L74" s="1" t="s">
        <v>18</v>
      </c>
      <c r="M74" t="str">
        <f>PROPER(TRIM(SalesRaw[[#This Row],[City]]))</f>
        <v>Glasgow</v>
      </c>
      <c r="N74" t="str">
        <f>_xlfn.TEXTBEFORE(SalesRaw[[#This Row],[CustomerName]]," ")</f>
        <v>Sara</v>
      </c>
      <c r="O74" t="str">
        <f>_xlfn.TEXTAFTER(SalesRaw[[#This Row],[CustomerName]]," ")</f>
        <v>Zimmerman</v>
      </c>
      <c r="P74" t="str">
        <f>_xlfn.TEXTAFTER(SalesRaw[[#This Row],[Email]],"@")</f>
        <v>examplemail.com</v>
      </c>
      <c r="Q74" s="7">
        <f>_xlfn.NUMBERVALUE(SUBSTITUTE(SUBSTITUTE(SalesRaw[[#This Row],[UnitPrice]],"£",""),",",""))</f>
        <v>19.989999999999998</v>
      </c>
      <c r="R74" s="7">
        <f>_xlfn.NUMBERVALUE(SUBSTITUTE(SUBSTITUTE(SalesRaw[[#This Row],[Revenue]],"£",""),",",""))</f>
        <v>59.97</v>
      </c>
      <c r="S74" s="9">
        <f>IF(ISNUMBER(SalesRaw[[#This Row],[OrderDate]]),SalesRaw[[#This Row],[OrderDate]],DATEVALUE(SalesRaw[[#This Row],[OrderDate]]))</f>
        <v>45956</v>
      </c>
      <c r="T74" t="str">
        <f>PROPER(TRIM(SalesRaw[[#This Row],[PaymentMethod]]))</f>
        <v>Card</v>
      </c>
      <c r="U74" t="str">
        <f>TEXT(S74,"mmmm")</f>
        <v>October</v>
      </c>
      <c r="V74" t="str">
        <f>TEXT(S74,"dddd")</f>
        <v>Sunday</v>
      </c>
    </row>
    <row r="75" spans="1:22" ht="15.75" customHeight="1" x14ac:dyDescent="0.35">
      <c r="A75" s="1">
        <v>100052</v>
      </c>
      <c r="B75" s="2">
        <v>45911</v>
      </c>
      <c r="C75" s="1" t="s">
        <v>175</v>
      </c>
      <c r="D75" s="1" t="s">
        <v>176</v>
      </c>
      <c r="E75" s="1" t="s">
        <v>14</v>
      </c>
      <c r="F75" s="1" t="s">
        <v>15</v>
      </c>
      <c r="G75" s="1" t="s">
        <v>62</v>
      </c>
      <c r="H75" s="1" t="s">
        <v>30</v>
      </c>
      <c r="I75" s="1">
        <v>3</v>
      </c>
      <c r="J75" s="1">
        <v>19.989999999999998</v>
      </c>
      <c r="K75" s="1">
        <v>59.97</v>
      </c>
      <c r="L75" s="1" t="s">
        <v>43</v>
      </c>
      <c r="M75" t="str">
        <f>PROPER(TRIM(SalesRaw[[#This Row],[City]]))</f>
        <v>Sheffield</v>
      </c>
      <c r="N75" t="str">
        <f>_xlfn.TEXTBEFORE(SalesRaw[[#This Row],[CustomerName]]," ")</f>
        <v>Zoe</v>
      </c>
      <c r="O75" t="str">
        <f>_xlfn.TEXTAFTER(SalesRaw[[#This Row],[CustomerName]]," ")</f>
        <v>Hughes</v>
      </c>
      <c r="P75" t="str">
        <f>_xlfn.TEXTAFTER(SalesRaw[[#This Row],[Email]],"@")</f>
        <v>examplemail.com</v>
      </c>
      <c r="Q75" s="7">
        <f>_xlfn.NUMBERVALUE(SUBSTITUTE(SUBSTITUTE(SalesRaw[[#This Row],[UnitPrice]],"£",""),",",""))</f>
        <v>19.989999999999998</v>
      </c>
      <c r="R75" s="7">
        <f>_xlfn.NUMBERVALUE(SUBSTITUTE(SUBSTITUTE(SalesRaw[[#This Row],[Revenue]],"£",""),",",""))</f>
        <v>59.97</v>
      </c>
      <c r="S75" s="9">
        <f>IF(ISNUMBER(SalesRaw[[#This Row],[OrderDate]]),SalesRaw[[#This Row],[OrderDate]],DATEVALUE(SalesRaw[[#This Row],[OrderDate]]))</f>
        <v>45911</v>
      </c>
      <c r="T75" t="str">
        <f>PROPER(TRIM(SalesRaw[[#This Row],[PaymentMethod]]))</f>
        <v>Cash</v>
      </c>
      <c r="U75" t="str">
        <f>TEXT(S75,"mmmm")</f>
        <v>September</v>
      </c>
      <c r="V75" t="str">
        <f>TEXT(S75,"dddd")</f>
        <v>Thursday</v>
      </c>
    </row>
    <row r="76" spans="1:22" ht="15.75" customHeight="1" x14ac:dyDescent="0.35">
      <c r="A76" s="1">
        <v>100053</v>
      </c>
      <c r="B76" s="2">
        <v>45936</v>
      </c>
      <c r="C76" s="1" t="s">
        <v>164</v>
      </c>
      <c r="D76" s="1" t="s">
        <v>165</v>
      </c>
      <c r="E76" t="s">
        <v>357</v>
      </c>
      <c r="F76" s="1" t="s">
        <v>61</v>
      </c>
      <c r="G76" s="1" t="s">
        <v>23</v>
      </c>
      <c r="H76" s="1" t="s">
        <v>24</v>
      </c>
      <c r="I76" s="1">
        <v>3</v>
      </c>
      <c r="J76" s="1">
        <v>19.989999999999998</v>
      </c>
      <c r="K76" s="1">
        <v>59.97</v>
      </c>
      <c r="L76" s="1" t="s">
        <v>18</v>
      </c>
      <c r="M76" t="str">
        <f>PROPER(TRIM(SalesRaw[[#This Row],[City]]))</f>
        <v>Unknown</v>
      </c>
      <c r="N76" t="str">
        <f>_xlfn.TEXTBEFORE(SalesRaw[[#This Row],[CustomerName]]," ")</f>
        <v>Grace</v>
      </c>
      <c r="O76" t="str">
        <f>_xlfn.TEXTAFTER(SalesRaw[[#This Row],[CustomerName]]," ")</f>
        <v>Quinn</v>
      </c>
      <c r="P76" t="str">
        <f>_xlfn.TEXTAFTER(SalesRaw[[#This Row],[Email]],"@")</f>
        <v>examplemail.com</v>
      </c>
      <c r="Q76" s="7">
        <f>_xlfn.NUMBERVALUE(SUBSTITUTE(SUBSTITUTE(SalesRaw[[#This Row],[UnitPrice]],"£",""),",",""))</f>
        <v>19.989999999999998</v>
      </c>
      <c r="R76" s="7">
        <f>_xlfn.NUMBERVALUE(SUBSTITUTE(SUBSTITUTE(SalesRaw[[#This Row],[Revenue]],"£",""),",",""))</f>
        <v>59.97</v>
      </c>
      <c r="S76" s="9">
        <f>IF(ISNUMBER(SalesRaw[[#This Row],[OrderDate]]),SalesRaw[[#This Row],[OrderDate]],DATEVALUE(SalesRaw[[#This Row],[OrderDate]]))</f>
        <v>45936</v>
      </c>
      <c r="T76" t="str">
        <f>PROPER(TRIM(SalesRaw[[#This Row],[PaymentMethod]]))</f>
        <v>Card</v>
      </c>
      <c r="U76" t="str">
        <f>TEXT(S76,"mmmm")</f>
        <v>October</v>
      </c>
      <c r="V76" t="str">
        <f>TEXT(S76,"dddd")</f>
        <v>Monday</v>
      </c>
    </row>
    <row r="77" spans="1:22" ht="15.75" customHeight="1" x14ac:dyDescent="0.35">
      <c r="A77" s="1">
        <v>100070</v>
      </c>
      <c r="B77" s="2">
        <v>45932</v>
      </c>
      <c r="C77" s="1" t="s">
        <v>211</v>
      </c>
      <c r="D77" s="1" t="s">
        <v>212</v>
      </c>
      <c r="E77" s="1" t="s">
        <v>65</v>
      </c>
      <c r="F77" s="1" t="s">
        <v>66</v>
      </c>
      <c r="G77" s="1" t="s">
        <v>23</v>
      </c>
      <c r="H77" s="1" t="s">
        <v>24</v>
      </c>
      <c r="I77" s="1">
        <v>3</v>
      </c>
      <c r="J77" s="1">
        <v>19.989999999999998</v>
      </c>
      <c r="K77" s="1" t="s">
        <v>213</v>
      </c>
      <c r="L77" s="1" t="s">
        <v>54</v>
      </c>
      <c r="M77" t="str">
        <f>PROPER(TRIM(SalesRaw[[#This Row],[City]]))</f>
        <v>Cardiff</v>
      </c>
      <c r="N77" t="str">
        <f>_xlfn.TEXTBEFORE(SalesRaw[[#This Row],[CustomerName]]," ")</f>
        <v>Quinn</v>
      </c>
      <c r="O77" t="str">
        <f>_xlfn.TEXTAFTER(SalesRaw[[#This Row],[CustomerName]]," ")</f>
        <v>Hughes</v>
      </c>
      <c r="P77" t="str">
        <f>_xlfn.TEXTAFTER(SalesRaw[[#This Row],[Email]],"@")</f>
        <v>examplemail.com</v>
      </c>
      <c r="Q77" s="7">
        <f>_xlfn.NUMBERVALUE(SUBSTITUTE(SUBSTITUTE(SalesRaw[[#This Row],[UnitPrice]],"£",""),",",""))</f>
        <v>19.989999999999998</v>
      </c>
      <c r="R77" s="7">
        <f>_xlfn.NUMBERVALUE(SUBSTITUTE(SUBSTITUTE(SalesRaw[[#This Row],[Revenue]],"£",""),",",""))</f>
        <v>59.97</v>
      </c>
      <c r="S77" s="9">
        <f>IF(ISNUMBER(SalesRaw[[#This Row],[OrderDate]]),SalesRaw[[#This Row],[OrderDate]],DATEVALUE(SalesRaw[[#This Row],[OrderDate]]))</f>
        <v>45932</v>
      </c>
      <c r="T77" t="str">
        <f>PROPER(TRIM(SalesRaw[[#This Row],[PaymentMethod]]))</f>
        <v>Bank Transfer</v>
      </c>
      <c r="U77" t="str">
        <f>TEXT(S77,"mmmm")</f>
        <v>October</v>
      </c>
      <c r="V77" t="str">
        <f>TEXT(S77,"dddd")</f>
        <v>Thursday</v>
      </c>
    </row>
    <row r="78" spans="1:22" ht="15.75" customHeight="1" x14ac:dyDescent="0.35">
      <c r="A78" s="1">
        <v>100018</v>
      </c>
      <c r="B78" s="2">
        <v>45901</v>
      </c>
      <c r="C78" s="1" t="s">
        <v>92</v>
      </c>
      <c r="D78" s="1" t="s">
        <v>93</v>
      </c>
      <c r="E78" s="1" t="s">
        <v>65</v>
      </c>
      <c r="F78" s="1" t="s">
        <v>66</v>
      </c>
      <c r="G78" s="1" t="s">
        <v>70</v>
      </c>
      <c r="H78" s="1" t="s">
        <v>30</v>
      </c>
      <c r="I78">
        <v>1</v>
      </c>
      <c r="J78" s="1">
        <v>14.99</v>
      </c>
      <c r="K78" s="1">
        <v>59.96</v>
      </c>
      <c r="L78" s="1" t="s">
        <v>54</v>
      </c>
      <c r="M78" t="str">
        <f>PROPER(TRIM(SalesRaw[[#This Row],[City]]))</f>
        <v>Cardiff</v>
      </c>
      <c r="N78" t="str">
        <f>_xlfn.TEXTBEFORE(SalesRaw[[#This Row],[CustomerName]]," ")</f>
        <v>Yasmin</v>
      </c>
      <c r="O78" t="str">
        <f>_xlfn.TEXTAFTER(SalesRaw[[#This Row],[CustomerName]]," ")</f>
        <v>Roberts</v>
      </c>
      <c r="P78" t="str">
        <f>_xlfn.TEXTAFTER(SalesRaw[[#This Row],[Email]],"@")</f>
        <v>examplemail.com</v>
      </c>
      <c r="Q78" s="7">
        <f>_xlfn.NUMBERVALUE(SUBSTITUTE(SUBSTITUTE(SalesRaw[[#This Row],[UnitPrice]],"£",""),",",""))</f>
        <v>14.99</v>
      </c>
      <c r="R78" s="7">
        <f>_xlfn.NUMBERVALUE(SUBSTITUTE(SUBSTITUTE(SalesRaw[[#This Row],[Revenue]],"£",""),",",""))</f>
        <v>59.96</v>
      </c>
      <c r="S78" s="9">
        <f>IF(ISNUMBER(SalesRaw[[#This Row],[OrderDate]]),SalesRaw[[#This Row],[OrderDate]],DATEVALUE(SalesRaw[[#This Row],[OrderDate]]))</f>
        <v>45901</v>
      </c>
      <c r="T78" t="str">
        <f>PROPER(TRIM(SalesRaw[[#This Row],[PaymentMethod]]))</f>
        <v>Bank Transfer</v>
      </c>
      <c r="U78" t="str">
        <f>TEXT(S78,"mmmm")</f>
        <v>September</v>
      </c>
      <c r="V78" t="str">
        <f>TEXT(S78,"dddd")</f>
        <v>Monday</v>
      </c>
    </row>
    <row r="79" spans="1:22" ht="15.75" customHeight="1" x14ac:dyDescent="0.35">
      <c r="A79" s="1">
        <v>100023</v>
      </c>
      <c r="B79" s="2">
        <v>45961</v>
      </c>
      <c r="C79" s="1" t="s">
        <v>106</v>
      </c>
      <c r="D79" s="1" t="s">
        <v>107</v>
      </c>
      <c r="E79" s="1" t="s">
        <v>108</v>
      </c>
      <c r="F79" s="1" t="s">
        <v>15</v>
      </c>
      <c r="G79" s="1" t="s">
        <v>16</v>
      </c>
      <c r="H79" s="1" t="s">
        <v>17</v>
      </c>
      <c r="I79" s="1" t="s">
        <v>75</v>
      </c>
      <c r="J79" s="1">
        <v>49.99</v>
      </c>
      <c r="K79" s="1">
        <v>49.99</v>
      </c>
      <c r="L79" s="1" t="s">
        <v>54</v>
      </c>
      <c r="M79" t="str">
        <f>PROPER(TRIM(SalesRaw[[#This Row],[City]]))</f>
        <v>Sheffield</v>
      </c>
      <c r="N79" t="str">
        <f>_xlfn.TEXTBEFORE(SalesRaw[[#This Row],[CustomerName]]," ")</f>
        <v>Jack</v>
      </c>
      <c r="O79" t="str">
        <f>_xlfn.TEXTAFTER(SalesRaw[[#This Row],[CustomerName]]," ")</f>
        <v>Williams</v>
      </c>
      <c r="P79" t="str">
        <f>_xlfn.TEXTAFTER(SalesRaw[[#This Row],[Email]],"@")</f>
        <v>examplemail.com</v>
      </c>
      <c r="Q79" s="7">
        <f>_xlfn.NUMBERVALUE(SUBSTITUTE(SUBSTITUTE(SalesRaw[[#This Row],[UnitPrice]],"£",""),",",""))</f>
        <v>49.99</v>
      </c>
      <c r="R79" s="7">
        <f>_xlfn.NUMBERVALUE(SUBSTITUTE(SUBSTITUTE(SalesRaw[[#This Row],[Revenue]],"£",""),",",""))</f>
        <v>49.99</v>
      </c>
      <c r="S79" s="9">
        <f>IF(ISNUMBER(SalesRaw[[#This Row],[OrderDate]]),SalesRaw[[#This Row],[OrderDate]],DATEVALUE(SalesRaw[[#This Row],[OrderDate]]))</f>
        <v>45961</v>
      </c>
      <c r="T79" t="str">
        <f>PROPER(TRIM(SalesRaw[[#This Row],[PaymentMethod]]))</f>
        <v>Bank Transfer</v>
      </c>
      <c r="U79" t="str">
        <f>TEXT(S79,"mmmm")</f>
        <v>October</v>
      </c>
      <c r="V79" t="str">
        <f>TEXT(S79,"dddd")</f>
        <v>Friday</v>
      </c>
    </row>
    <row r="80" spans="1:22" ht="15.75" customHeight="1" x14ac:dyDescent="0.35">
      <c r="A80" s="1">
        <v>100035</v>
      </c>
      <c r="B80" s="2">
        <v>45974</v>
      </c>
      <c r="C80" s="1" t="s">
        <v>135</v>
      </c>
      <c r="D80" s="1" t="s">
        <v>136</v>
      </c>
      <c r="E80" s="1" t="s">
        <v>137</v>
      </c>
      <c r="F80" s="1" t="s">
        <v>138</v>
      </c>
      <c r="G80" s="1" t="s">
        <v>70</v>
      </c>
      <c r="H80" s="1" t="s">
        <v>30</v>
      </c>
      <c r="I80" s="1">
        <v>1</v>
      </c>
      <c r="J80" s="1">
        <v>49.99</v>
      </c>
      <c r="K80" s="1">
        <v>49.99</v>
      </c>
      <c r="L80" s="1" t="s">
        <v>49</v>
      </c>
      <c r="M80" t="str">
        <f>PROPER(TRIM(SalesRaw[[#This Row],[City]]))</f>
        <v>Belfast</v>
      </c>
      <c r="N80" t="str">
        <f>_xlfn.TEXTBEFORE(SalesRaw[[#This Row],[CustomerName]]," ")</f>
        <v>Olivia</v>
      </c>
      <c r="O80" t="str">
        <f>_xlfn.TEXTAFTER(SalesRaw[[#This Row],[CustomerName]]," ")</f>
        <v>Young</v>
      </c>
      <c r="P80" t="str">
        <f>_xlfn.TEXTAFTER(SalesRaw[[#This Row],[Email]],"@")</f>
        <v>examplemail.com</v>
      </c>
      <c r="Q80" s="7">
        <f>_xlfn.NUMBERVALUE(SUBSTITUTE(SUBSTITUTE(SalesRaw[[#This Row],[UnitPrice]],"£",""),",",""))</f>
        <v>49.99</v>
      </c>
      <c r="R80" s="7">
        <f>_xlfn.NUMBERVALUE(SUBSTITUTE(SUBSTITUTE(SalesRaw[[#This Row],[Revenue]],"£",""),",",""))</f>
        <v>49.99</v>
      </c>
      <c r="S80" s="9">
        <f>IF(ISNUMBER(SalesRaw[[#This Row],[OrderDate]]),SalesRaw[[#This Row],[OrderDate]],DATEVALUE(SalesRaw[[#This Row],[OrderDate]]))</f>
        <v>45974</v>
      </c>
      <c r="T80" t="str">
        <f>PROPER(TRIM(SalesRaw[[#This Row],[PaymentMethod]]))</f>
        <v>Paypal</v>
      </c>
      <c r="U80" t="str">
        <f>TEXT(S80,"mmmm")</f>
        <v>November</v>
      </c>
      <c r="V80" t="str">
        <f>TEXT(S80,"dddd")</f>
        <v>Thursday</v>
      </c>
    </row>
    <row r="81" spans="1:22" ht="15.75" customHeight="1" x14ac:dyDescent="0.35">
      <c r="A81" s="1">
        <v>100042</v>
      </c>
      <c r="B81" s="2">
        <v>45973</v>
      </c>
      <c r="C81" s="1" t="s">
        <v>153</v>
      </c>
      <c r="D81" s="1" t="s">
        <v>154</v>
      </c>
      <c r="E81" s="1" t="s">
        <v>96</v>
      </c>
      <c r="F81" s="1" t="s">
        <v>97</v>
      </c>
      <c r="G81" s="1" t="s">
        <v>53</v>
      </c>
      <c r="H81" s="1" t="s">
        <v>17</v>
      </c>
      <c r="I81" s="1">
        <v>1</v>
      </c>
      <c r="J81" s="1">
        <v>49.99</v>
      </c>
      <c r="K81" s="1">
        <v>49.99</v>
      </c>
      <c r="L81" s="1" t="s">
        <v>155</v>
      </c>
      <c r="M81" t="str">
        <f>PROPER(TRIM(SalesRaw[[#This Row],[City]]))</f>
        <v>Bristol</v>
      </c>
      <c r="N81" t="str">
        <f>_xlfn.TEXTBEFORE(SalesRaw[[#This Row],[CustomerName]]," ")</f>
        <v>Uma</v>
      </c>
      <c r="O81" t="str">
        <f>_xlfn.TEXTAFTER(SalesRaw[[#This Row],[CustomerName]]," ")</f>
        <v>Iqbal</v>
      </c>
      <c r="P81" t="str">
        <f>_xlfn.TEXTAFTER(SalesRaw[[#This Row],[Email]],"@")</f>
        <v>examplemail.com</v>
      </c>
      <c r="Q81" s="7">
        <f>_xlfn.NUMBERVALUE(SUBSTITUTE(SUBSTITUTE(SalesRaw[[#This Row],[UnitPrice]],"£",""),",",""))</f>
        <v>49.99</v>
      </c>
      <c r="R81" s="7">
        <f>_xlfn.NUMBERVALUE(SUBSTITUTE(SUBSTITUTE(SalesRaw[[#This Row],[Revenue]],"£",""),",",""))</f>
        <v>49.99</v>
      </c>
      <c r="S81" s="9">
        <f>IF(ISNUMBER(SalesRaw[[#This Row],[OrderDate]]),SalesRaw[[#This Row],[OrderDate]],DATEVALUE(SalesRaw[[#This Row],[OrderDate]]))</f>
        <v>45973</v>
      </c>
      <c r="T81" t="str">
        <f>PROPER(TRIM(SalesRaw[[#This Row],[PaymentMethod]]))</f>
        <v>Bank Transfer</v>
      </c>
      <c r="U81" t="str">
        <f>TEXT(S81,"mmmm")</f>
        <v>November</v>
      </c>
      <c r="V81" t="str">
        <f>TEXT(S81,"dddd")</f>
        <v>Wednesday</v>
      </c>
    </row>
    <row r="82" spans="1:22" ht="15.75" customHeight="1" x14ac:dyDescent="0.35">
      <c r="A82" s="1">
        <v>100049</v>
      </c>
      <c r="B82" s="2">
        <v>45945</v>
      </c>
      <c r="C82" s="1" t="s">
        <v>169</v>
      </c>
      <c r="D82" s="1" t="s">
        <v>170</v>
      </c>
      <c r="E82" s="1" t="s">
        <v>60</v>
      </c>
      <c r="F82" s="1" t="s">
        <v>61</v>
      </c>
      <c r="G82" s="1" t="s">
        <v>23</v>
      </c>
      <c r="H82" s="1" t="s">
        <v>24</v>
      </c>
      <c r="I82" s="1">
        <v>1</v>
      </c>
      <c r="J82" s="1">
        <v>49.99</v>
      </c>
      <c r="K82" s="1">
        <v>49.99</v>
      </c>
      <c r="L82" s="1" t="s">
        <v>43</v>
      </c>
      <c r="M82" t="str">
        <f>PROPER(TRIM(SalesRaw[[#This Row],[City]]))</f>
        <v>Edinburgh</v>
      </c>
      <c r="N82" t="str">
        <f>_xlfn.TEXTBEFORE(SalesRaw[[#This Row],[CustomerName]]," ")</f>
        <v>Wendy</v>
      </c>
      <c r="O82" t="str">
        <f>_xlfn.TEXTAFTER(SalesRaw[[#This Row],[CustomerName]]," ")</f>
        <v>Iqbal</v>
      </c>
      <c r="P82" t="str">
        <f>_xlfn.TEXTAFTER(SalesRaw[[#This Row],[Email]],"@")</f>
        <v>examplemail.com</v>
      </c>
      <c r="Q82" s="7">
        <f>_xlfn.NUMBERVALUE(SUBSTITUTE(SUBSTITUTE(SalesRaw[[#This Row],[UnitPrice]],"£",""),",",""))</f>
        <v>49.99</v>
      </c>
      <c r="R82" s="7">
        <f>_xlfn.NUMBERVALUE(SUBSTITUTE(SUBSTITUTE(SalesRaw[[#This Row],[Revenue]],"£",""),",",""))</f>
        <v>49.99</v>
      </c>
      <c r="S82" s="9">
        <f>IF(ISNUMBER(SalesRaw[[#This Row],[OrderDate]]),SalesRaw[[#This Row],[OrderDate]],DATEVALUE(SalesRaw[[#This Row],[OrderDate]]))</f>
        <v>45945</v>
      </c>
      <c r="T82" t="str">
        <f>PROPER(TRIM(SalesRaw[[#This Row],[PaymentMethod]]))</f>
        <v>Cash</v>
      </c>
      <c r="U82" t="str">
        <f>TEXT(S82,"mmmm")</f>
        <v>October</v>
      </c>
      <c r="V82" t="str">
        <f>TEXT(S82,"dddd")</f>
        <v>Wednesday</v>
      </c>
    </row>
    <row r="83" spans="1:22" ht="15.75" customHeight="1" x14ac:dyDescent="0.35">
      <c r="A83" s="1">
        <v>100050</v>
      </c>
      <c r="B83" s="2">
        <v>45972</v>
      </c>
      <c r="C83" s="1" t="s">
        <v>171</v>
      </c>
      <c r="D83" s="1" t="s">
        <v>172</v>
      </c>
      <c r="E83" s="1" t="s">
        <v>34</v>
      </c>
      <c r="F83" s="1" t="s">
        <v>15</v>
      </c>
      <c r="G83" s="1" t="s">
        <v>82</v>
      </c>
      <c r="H83" s="1" t="s">
        <v>83</v>
      </c>
      <c r="I83" s="1">
        <v>1</v>
      </c>
      <c r="J83" s="1">
        <v>49.99</v>
      </c>
      <c r="K83" s="1">
        <v>49.99</v>
      </c>
      <c r="L83" s="1" t="s">
        <v>155</v>
      </c>
      <c r="M83" t="str">
        <f>PROPER(TRIM(SalesRaw[[#This Row],[City]]))</f>
        <v>Leeds</v>
      </c>
      <c r="N83" t="str">
        <f>_xlfn.TEXTBEFORE(SalesRaw[[#This Row],[CustomerName]]," ")</f>
        <v>Liam</v>
      </c>
      <c r="O83" t="str">
        <f>_xlfn.TEXTAFTER(SalesRaw[[#This Row],[CustomerName]]," ")</f>
        <v>Young</v>
      </c>
      <c r="P83" t="str">
        <f>_xlfn.TEXTAFTER(SalesRaw[[#This Row],[Email]],"@")</f>
        <v>examplemail.com</v>
      </c>
      <c r="Q83" s="7">
        <f>_xlfn.NUMBERVALUE(SUBSTITUTE(SUBSTITUTE(SalesRaw[[#This Row],[UnitPrice]],"£",""),",",""))</f>
        <v>49.99</v>
      </c>
      <c r="R83" s="7">
        <f>_xlfn.NUMBERVALUE(SUBSTITUTE(SUBSTITUTE(SalesRaw[[#This Row],[Revenue]],"£",""),",",""))</f>
        <v>49.99</v>
      </c>
      <c r="S83" s="9">
        <f>IF(ISNUMBER(SalesRaw[[#This Row],[OrderDate]]),SalesRaw[[#This Row],[OrderDate]],DATEVALUE(SalesRaw[[#This Row],[OrderDate]]))</f>
        <v>45972</v>
      </c>
      <c r="T83" t="str">
        <f>PROPER(TRIM(SalesRaw[[#This Row],[PaymentMethod]]))</f>
        <v>Bank Transfer</v>
      </c>
      <c r="U83" t="str">
        <f>TEXT(S83,"mmmm")</f>
        <v>November</v>
      </c>
      <c r="V83" t="str">
        <f>TEXT(S83,"dddd")</f>
        <v>Tuesday</v>
      </c>
    </row>
    <row r="84" spans="1:22" ht="15.75" customHeight="1" x14ac:dyDescent="0.35">
      <c r="A84" s="1">
        <v>100077</v>
      </c>
      <c r="B84" s="2">
        <v>45976</v>
      </c>
      <c r="C84" s="1" t="s">
        <v>224</v>
      </c>
      <c r="D84" s="1" t="s">
        <v>225</v>
      </c>
      <c r="E84" s="1" t="s">
        <v>60</v>
      </c>
      <c r="F84" s="1" t="s">
        <v>61</v>
      </c>
      <c r="G84" s="1" t="s">
        <v>82</v>
      </c>
      <c r="H84" s="1" t="s">
        <v>83</v>
      </c>
      <c r="I84" s="1">
        <v>1</v>
      </c>
      <c r="J84" s="1">
        <v>49.99</v>
      </c>
      <c r="K84" s="1">
        <v>49.99</v>
      </c>
      <c r="L84" s="1" t="s">
        <v>31</v>
      </c>
      <c r="M84" t="str">
        <f>PROPER(TRIM(SalesRaw[[#This Row],[City]]))</f>
        <v>Edinburgh</v>
      </c>
      <c r="N84" t="str">
        <f>_xlfn.TEXTBEFORE(SalesRaw[[#This Row],[CustomerName]]," ")</f>
        <v>Kemi</v>
      </c>
      <c r="O84" t="str">
        <f>_xlfn.TEXTAFTER(SalesRaw[[#This Row],[CustomerName]]," ")</f>
        <v>Vaughan</v>
      </c>
      <c r="P84" t="str">
        <f>_xlfn.TEXTAFTER(SalesRaw[[#This Row],[Email]],"@")</f>
        <v>examplemail.com</v>
      </c>
      <c r="Q84" s="7">
        <f>_xlfn.NUMBERVALUE(SUBSTITUTE(SUBSTITUTE(SalesRaw[[#This Row],[UnitPrice]],"£",""),",",""))</f>
        <v>49.99</v>
      </c>
      <c r="R84" s="7">
        <f>_xlfn.NUMBERVALUE(SUBSTITUTE(SUBSTITUTE(SalesRaw[[#This Row],[Revenue]],"£",""),",",""))</f>
        <v>49.99</v>
      </c>
      <c r="S84" s="9">
        <f>IF(ISNUMBER(SalesRaw[[#This Row],[OrderDate]]),SalesRaw[[#This Row],[OrderDate]],DATEVALUE(SalesRaw[[#This Row],[OrderDate]]))</f>
        <v>45976</v>
      </c>
      <c r="T84" t="str">
        <f>PROPER(TRIM(SalesRaw[[#This Row],[PaymentMethod]]))</f>
        <v>Paypal</v>
      </c>
      <c r="U84" t="str">
        <f>TEXT(S84,"mmmm")</f>
        <v>November</v>
      </c>
      <c r="V84" t="str">
        <f>TEXT(S84,"dddd")</f>
        <v>Saturday</v>
      </c>
    </row>
    <row r="85" spans="1:22" ht="15.75" customHeight="1" x14ac:dyDescent="0.35">
      <c r="A85" s="1">
        <v>100087</v>
      </c>
      <c r="B85" s="2">
        <v>45954</v>
      </c>
      <c r="C85" s="1" t="s">
        <v>245</v>
      </c>
      <c r="D85" s="1" t="s">
        <v>246</v>
      </c>
      <c r="E85" s="1" t="s">
        <v>21</v>
      </c>
      <c r="F85" s="1" t="s">
        <v>22</v>
      </c>
      <c r="G85" s="1" t="s">
        <v>70</v>
      </c>
      <c r="H85" s="1" t="s">
        <v>30</v>
      </c>
      <c r="I85" s="1">
        <v>1</v>
      </c>
      <c r="J85" s="1">
        <v>49.99</v>
      </c>
      <c r="K85" s="1">
        <v>49.99</v>
      </c>
      <c r="L85" s="1" t="s">
        <v>43</v>
      </c>
      <c r="M85" t="str">
        <f>PROPER(TRIM(SalesRaw[[#This Row],[City]]))</f>
        <v>Manchester</v>
      </c>
      <c r="N85" t="str">
        <f>_xlfn.TEXTBEFORE(SalesRaw[[#This Row],[CustomerName]]," ")</f>
        <v>Victor</v>
      </c>
      <c r="O85" t="str">
        <f>_xlfn.TEXTAFTER(SalesRaw[[#This Row],[CustomerName]]," ")</f>
        <v>Johnson</v>
      </c>
      <c r="P85" t="str">
        <f>_xlfn.TEXTAFTER(SalesRaw[[#This Row],[Email]],"@")</f>
        <v>examplemail.com</v>
      </c>
      <c r="Q85" s="7">
        <f>_xlfn.NUMBERVALUE(SUBSTITUTE(SUBSTITUTE(SalesRaw[[#This Row],[UnitPrice]],"£",""),",",""))</f>
        <v>49.99</v>
      </c>
      <c r="R85" s="7">
        <f>_xlfn.NUMBERVALUE(SUBSTITUTE(SUBSTITUTE(SalesRaw[[#This Row],[Revenue]],"£",""),",",""))</f>
        <v>49.99</v>
      </c>
      <c r="S85" s="9">
        <f>IF(ISNUMBER(SalesRaw[[#This Row],[OrderDate]]),SalesRaw[[#This Row],[OrderDate]],DATEVALUE(SalesRaw[[#This Row],[OrderDate]]))</f>
        <v>45954</v>
      </c>
      <c r="T85" t="str">
        <f>PROPER(TRIM(SalesRaw[[#This Row],[PaymentMethod]]))</f>
        <v>Cash</v>
      </c>
      <c r="U85" t="str">
        <f>TEXT(S85,"mmmm")</f>
        <v>October</v>
      </c>
      <c r="V85" t="str">
        <f>TEXT(S85,"dddd")</f>
        <v>Friday</v>
      </c>
    </row>
    <row r="86" spans="1:22" ht="15.75" customHeight="1" x14ac:dyDescent="0.35">
      <c r="A86" s="1">
        <v>100100</v>
      </c>
      <c r="B86" s="2">
        <v>45940</v>
      </c>
      <c r="C86" s="1" t="s">
        <v>274</v>
      </c>
      <c r="D86" s="1" t="s">
        <v>275</v>
      </c>
      <c r="E86" s="1" t="s">
        <v>65</v>
      </c>
      <c r="F86" s="1" t="s">
        <v>66</v>
      </c>
      <c r="G86" s="1" t="s">
        <v>119</v>
      </c>
      <c r="H86" s="1" t="s">
        <v>30</v>
      </c>
      <c r="I86" s="1">
        <v>1</v>
      </c>
      <c r="J86" s="1">
        <v>49.99</v>
      </c>
      <c r="K86" s="1">
        <v>49.99</v>
      </c>
      <c r="L86" s="1" t="s">
        <v>54</v>
      </c>
      <c r="M86" t="str">
        <f>PROPER(TRIM(SalesRaw[[#This Row],[City]]))</f>
        <v>Cardiff</v>
      </c>
      <c r="N86" t="str">
        <f>_xlfn.TEXTBEFORE(SalesRaw[[#This Row],[CustomerName]]," ")</f>
        <v>Ravi</v>
      </c>
      <c r="O86" t="str">
        <f>_xlfn.TEXTAFTER(SalesRaw[[#This Row],[CustomerName]]," ")</f>
        <v>Quinn</v>
      </c>
      <c r="P86" t="str">
        <f>_xlfn.TEXTAFTER(SalesRaw[[#This Row],[Email]],"@")</f>
        <v>examplemail.com</v>
      </c>
      <c r="Q86" s="7">
        <f>_xlfn.NUMBERVALUE(SUBSTITUTE(SUBSTITUTE(SalesRaw[[#This Row],[UnitPrice]],"£",""),",",""))</f>
        <v>49.99</v>
      </c>
      <c r="R86" s="7">
        <f>_xlfn.NUMBERVALUE(SUBSTITUTE(SUBSTITUTE(SalesRaw[[#This Row],[Revenue]],"£",""),",",""))</f>
        <v>49.99</v>
      </c>
      <c r="S86" s="9">
        <f>IF(ISNUMBER(SalesRaw[[#This Row],[OrderDate]]),SalesRaw[[#This Row],[OrderDate]],DATEVALUE(SalesRaw[[#This Row],[OrderDate]]))</f>
        <v>45940</v>
      </c>
      <c r="T86" t="str">
        <f>PROPER(TRIM(SalesRaw[[#This Row],[PaymentMethod]]))</f>
        <v>Bank Transfer</v>
      </c>
      <c r="U86" t="str">
        <f>TEXT(S86,"mmmm")</f>
        <v>October</v>
      </c>
      <c r="V86" t="str">
        <f>TEXT(S86,"dddd")</f>
        <v>Friday</v>
      </c>
    </row>
    <row r="87" spans="1:22" ht="15.75" customHeight="1" x14ac:dyDescent="0.35">
      <c r="A87" s="1">
        <v>100110</v>
      </c>
      <c r="B87" s="2">
        <v>45971</v>
      </c>
      <c r="C87" s="1" t="s">
        <v>293</v>
      </c>
      <c r="D87" s="1" t="s">
        <v>294</v>
      </c>
      <c r="E87" s="1" t="s">
        <v>28</v>
      </c>
      <c r="F87" s="1" t="s">
        <v>28</v>
      </c>
      <c r="G87" s="1" t="s">
        <v>47</v>
      </c>
      <c r="H87" s="1" t="s">
        <v>24</v>
      </c>
      <c r="I87" s="1">
        <v>1</v>
      </c>
      <c r="J87" s="1">
        <v>49.99</v>
      </c>
      <c r="K87" s="1">
        <v>49.99</v>
      </c>
      <c r="L87" s="1" t="s">
        <v>18</v>
      </c>
      <c r="M87" t="str">
        <f>PROPER(TRIM(SalesRaw[[#This Row],[City]]))</f>
        <v>London</v>
      </c>
      <c r="N87" t="str">
        <f>_xlfn.TEXTBEFORE(SalesRaw[[#This Row],[CustomerName]]," ")</f>
        <v>Isla</v>
      </c>
      <c r="O87" t="str">
        <f>_xlfn.TEXTAFTER(SalesRaw[[#This Row],[CustomerName]]," ")</f>
        <v>Lewis</v>
      </c>
      <c r="P87" t="str">
        <f>_xlfn.TEXTAFTER(SalesRaw[[#This Row],[Email]],"@")</f>
        <v>examplemail.com</v>
      </c>
      <c r="Q87" s="7">
        <f>_xlfn.NUMBERVALUE(SUBSTITUTE(SUBSTITUTE(SalesRaw[[#This Row],[UnitPrice]],"£",""),",",""))</f>
        <v>49.99</v>
      </c>
      <c r="R87" s="7">
        <f>_xlfn.NUMBERVALUE(SUBSTITUTE(SUBSTITUTE(SalesRaw[[#This Row],[Revenue]],"£",""),",",""))</f>
        <v>49.99</v>
      </c>
      <c r="S87" s="9">
        <f>IF(ISNUMBER(SalesRaw[[#This Row],[OrderDate]]),SalesRaw[[#This Row],[OrderDate]],DATEVALUE(SalesRaw[[#This Row],[OrderDate]]))</f>
        <v>45971</v>
      </c>
      <c r="T87" t="str">
        <f>PROPER(TRIM(SalesRaw[[#This Row],[PaymentMethod]]))</f>
        <v>Card</v>
      </c>
      <c r="U87" t="str">
        <f>TEXT(S87,"mmmm")</f>
        <v>November</v>
      </c>
      <c r="V87" t="str">
        <f>TEXT(S87,"dddd")</f>
        <v>Monday</v>
      </c>
    </row>
    <row r="88" spans="1:22" ht="15.75" customHeight="1" x14ac:dyDescent="0.35">
      <c r="A88" s="1">
        <v>100124</v>
      </c>
      <c r="B88" s="2">
        <v>45907</v>
      </c>
      <c r="C88" s="1" t="s">
        <v>317</v>
      </c>
      <c r="D88" s="1" t="s">
        <v>318</v>
      </c>
      <c r="E88" s="1" t="s">
        <v>14</v>
      </c>
      <c r="F88" s="1" t="s">
        <v>319</v>
      </c>
      <c r="G88" s="1" t="s">
        <v>29</v>
      </c>
      <c r="H88" s="1" t="s">
        <v>30</v>
      </c>
      <c r="I88" s="1">
        <v>1</v>
      </c>
      <c r="J88" s="1">
        <v>49.99</v>
      </c>
      <c r="K88" s="1">
        <v>49.99</v>
      </c>
      <c r="L88" s="1" t="s">
        <v>31</v>
      </c>
      <c r="M88" t="str">
        <f>PROPER(TRIM(SalesRaw[[#This Row],[City]]))</f>
        <v>Sheffield</v>
      </c>
      <c r="N88" t="str">
        <f>_xlfn.TEXTBEFORE(SalesRaw[[#This Row],[CustomerName]]," ")</f>
        <v>Aisha</v>
      </c>
      <c r="O88" t="str">
        <f>_xlfn.TEXTAFTER(SalesRaw[[#This Row],[CustomerName]]," ")</f>
        <v>Khan</v>
      </c>
      <c r="P88" t="str">
        <f>_xlfn.TEXTAFTER(SalesRaw[[#This Row],[Email]],"@")</f>
        <v>examplemail.com</v>
      </c>
      <c r="Q88" s="7">
        <f>_xlfn.NUMBERVALUE(SUBSTITUTE(SUBSTITUTE(SalesRaw[[#This Row],[UnitPrice]],"£",""),",",""))</f>
        <v>49.99</v>
      </c>
      <c r="R88" s="7">
        <f>_xlfn.NUMBERVALUE(SUBSTITUTE(SUBSTITUTE(SalesRaw[[#This Row],[Revenue]],"£",""),",",""))</f>
        <v>49.99</v>
      </c>
      <c r="S88" s="9">
        <f>IF(ISNUMBER(SalesRaw[[#This Row],[OrderDate]]),SalesRaw[[#This Row],[OrderDate]],DATEVALUE(SalesRaw[[#This Row],[OrderDate]]))</f>
        <v>45907</v>
      </c>
      <c r="T88" t="str">
        <f>PROPER(TRIM(SalesRaw[[#This Row],[PaymentMethod]]))</f>
        <v>Paypal</v>
      </c>
      <c r="U88" t="str">
        <f>TEXT(S88,"mmmm")</f>
        <v>September</v>
      </c>
      <c r="V88" t="str">
        <f>TEXT(S88,"dddd")</f>
        <v>Sunday</v>
      </c>
    </row>
    <row r="89" spans="1:22" ht="15.75" customHeight="1" x14ac:dyDescent="0.35">
      <c r="A89" s="1">
        <v>100129</v>
      </c>
      <c r="B89" s="2">
        <v>45980</v>
      </c>
      <c r="C89" s="1" t="s">
        <v>79</v>
      </c>
      <c r="D89" s="1" t="s">
        <v>80</v>
      </c>
      <c r="E89" s="1" t="s">
        <v>328</v>
      </c>
      <c r="F89" s="1" t="s">
        <v>319</v>
      </c>
      <c r="G89" s="1" t="s">
        <v>122</v>
      </c>
      <c r="H89" s="1" t="s">
        <v>30</v>
      </c>
      <c r="I89" s="1">
        <v>1</v>
      </c>
      <c r="J89" s="1">
        <v>49.99</v>
      </c>
      <c r="K89" s="1">
        <v>49.99</v>
      </c>
      <c r="L89" s="1" t="s">
        <v>43</v>
      </c>
      <c r="M89" t="str">
        <f>PROPER(TRIM(SalesRaw[[#This Row],[City]]))</f>
        <v>Edinburgh</v>
      </c>
      <c r="N89" t="str">
        <f>_xlfn.TEXTBEFORE(SalesRaw[[#This Row],[CustomerName]]," ")</f>
        <v>Chloe</v>
      </c>
      <c r="O89" t="str">
        <f>_xlfn.TEXTAFTER(SalesRaw[[#This Row],[CustomerName]]," ")</f>
        <v>Singh</v>
      </c>
      <c r="P89" t="str">
        <f>_xlfn.TEXTAFTER(SalesRaw[[#This Row],[Email]],"@")</f>
        <v>examplemail.com</v>
      </c>
      <c r="Q89" s="7">
        <f>_xlfn.NUMBERVALUE(SUBSTITUTE(SUBSTITUTE(SalesRaw[[#This Row],[UnitPrice]],"£",""),",",""))</f>
        <v>49.99</v>
      </c>
      <c r="R89" s="7">
        <f>_xlfn.NUMBERVALUE(SUBSTITUTE(SUBSTITUTE(SalesRaw[[#This Row],[Revenue]],"£",""),",",""))</f>
        <v>49.99</v>
      </c>
      <c r="S89" s="9">
        <f>IF(ISNUMBER(SalesRaw[[#This Row],[OrderDate]]),SalesRaw[[#This Row],[OrderDate]],DATEVALUE(SalesRaw[[#This Row],[OrderDate]]))</f>
        <v>45980</v>
      </c>
      <c r="T89" t="str">
        <f>PROPER(TRIM(SalesRaw[[#This Row],[PaymentMethod]]))</f>
        <v>Cash</v>
      </c>
      <c r="U89" t="str">
        <f>TEXT(S89,"mmmm")</f>
        <v>November</v>
      </c>
      <c r="V89" t="str">
        <f>TEXT(S89,"dddd")</f>
        <v>Wednesday</v>
      </c>
    </row>
    <row r="90" spans="1:22" ht="15.75" customHeight="1" x14ac:dyDescent="0.35">
      <c r="A90" s="1">
        <v>100131</v>
      </c>
      <c r="B90" s="2">
        <v>45955</v>
      </c>
      <c r="C90" s="1" t="s">
        <v>331</v>
      </c>
      <c r="D90" s="1" t="s">
        <v>332</v>
      </c>
      <c r="E90" s="1" t="s">
        <v>57</v>
      </c>
      <c r="F90" s="1" t="s">
        <v>46</v>
      </c>
      <c r="G90" s="1" t="s">
        <v>47</v>
      </c>
      <c r="H90" s="1" t="s">
        <v>24</v>
      </c>
      <c r="I90" s="1">
        <v>1</v>
      </c>
      <c r="J90" s="1" t="s">
        <v>333</v>
      </c>
      <c r="K90" s="1">
        <v>49.99</v>
      </c>
      <c r="L90" s="1" t="s">
        <v>43</v>
      </c>
      <c r="M90" t="str">
        <f>PROPER(TRIM(SalesRaw[[#This Row],[City]]))</f>
        <v>Birmingham</v>
      </c>
      <c r="N90" t="str">
        <f>_xlfn.TEXTBEFORE(SalesRaw[[#This Row],[CustomerName]]," ")</f>
        <v>Xavier</v>
      </c>
      <c r="O90" t="str">
        <f>_xlfn.TEXTAFTER(SalesRaw[[#This Row],[CustomerName]]," ")</f>
        <v>Patel</v>
      </c>
      <c r="P90" t="str">
        <f>_xlfn.TEXTAFTER(SalesRaw[[#This Row],[Email]],"@")</f>
        <v>examplemail.com</v>
      </c>
      <c r="Q90" s="7">
        <f>_xlfn.NUMBERVALUE(SUBSTITUTE(SUBSTITUTE(SalesRaw[[#This Row],[UnitPrice]],"£",""),",",""))</f>
        <v>49.99</v>
      </c>
      <c r="R90" s="7">
        <f>_xlfn.NUMBERVALUE(SUBSTITUTE(SUBSTITUTE(SalesRaw[[#This Row],[Revenue]],"£",""),",",""))</f>
        <v>49.99</v>
      </c>
      <c r="S90" s="9">
        <f>IF(ISNUMBER(SalesRaw[[#This Row],[OrderDate]]),SalesRaw[[#This Row],[OrderDate]],DATEVALUE(SalesRaw[[#This Row],[OrderDate]]))</f>
        <v>45955</v>
      </c>
      <c r="T90" t="str">
        <f>PROPER(TRIM(SalesRaw[[#This Row],[PaymentMethod]]))</f>
        <v>Cash</v>
      </c>
      <c r="U90" t="str">
        <f>TEXT(S90,"mmmm")</f>
        <v>October</v>
      </c>
      <c r="V90" t="str">
        <f>TEXT(S90,"dddd")</f>
        <v>Saturday</v>
      </c>
    </row>
    <row r="91" spans="1:22" ht="15.75" customHeight="1" x14ac:dyDescent="0.35">
      <c r="A91" s="1">
        <v>100040</v>
      </c>
      <c r="B91" s="1" t="s">
        <v>148</v>
      </c>
      <c r="C91" s="1" t="s">
        <v>149</v>
      </c>
      <c r="D91" s="5" t="s">
        <v>358</v>
      </c>
      <c r="E91" s="1" t="s">
        <v>96</v>
      </c>
      <c r="F91" s="1" t="s">
        <v>97</v>
      </c>
      <c r="G91" s="1" t="s">
        <v>53</v>
      </c>
      <c r="H91" s="1" t="s">
        <v>17</v>
      </c>
      <c r="I91" s="1">
        <v>3</v>
      </c>
      <c r="J91" s="1" t="s">
        <v>150</v>
      </c>
      <c r="K91" s="1">
        <v>44.97</v>
      </c>
      <c r="L91" s="1" t="s">
        <v>18</v>
      </c>
      <c r="M91" t="str">
        <f>PROPER(TRIM(SalesRaw[[#This Row],[City]]))</f>
        <v>Bristol</v>
      </c>
      <c r="N91" t="str">
        <f>_xlfn.TEXTBEFORE(SalesRaw[[#This Row],[CustomerName]]," ")</f>
        <v>Ravi</v>
      </c>
      <c r="O91" t="str">
        <f>_xlfn.TEXTAFTER(SalesRaw[[#This Row],[CustomerName]]," ")</f>
        <v>Davis</v>
      </c>
      <c r="P91" t="str">
        <f>_xlfn.TEXTAFTER(SalesRaw[[#This Row],[Email]],"@")</f>
        <v>unknoown.com</v>
      </c>
      <c r="Q91" s="7">
        <f>_xlfn.NUMBERVALUE(SUBSTITUTE(SUBSTITUTE(SalesRaw[[#This Row],[UnitPrice]],"£",""),",",""))</f>
        <v>14.99</v>
      </c>
      <c r="R91" s="7">
        <f>_xlfn.NUMBERVALUE(SUBSTITUTE(SUBSTITUTE(SalesRaw[[#This Row],[Revenue]],"£",""),",",""))</f>
        <v>44.97</v>
      </c>
      <c r="S91" s="9">
        <f>IF(ISNUMBER(SalesRaw[[#This Row],[OrderDate]]),SalesRaw[[#This Row],[OrderDate]],DATEVALUE(SalesRaw[[#This Row],[OrderDate]]))</f>
        <v>45988</v>
      </c>
      <c r="T91" t="str">
        <f>PROPER(TRIM(SalesRaw[[#This Row],[PaymentMethod]]))</f>
        <v>Card</v>
      </c>
      <c r="U91" t="str">
        <f>TEXT(S91,"mmmm")</f>
        <v>November</v>
      </c>
      <c r="V91" t="str">
        <f>TEXT(S91,"dddd")</f>
        <v>Thursday</v>
      </c>
    </row>
    <row r="92" spans="1:22" ht="15.75" customHeight="1" x14ac:dyDescent="0.35">
      <c r="A92" s="1">
        <v>100013</v>
      </c>
      <c r="B92" s="1" t="s">
        <v>76</v>
      </c>
      <c r="C92" s="1" t="s">
        <v>77</v>
      </c>
      <c r="D92" s="1" t="s">
        <v>78</v>
      </c>
      <c r="E92" s="1" t="s">
        <v>57</v>
      </c>
      <c r="F92" s="1" t="s">
        <v>46</v>
      </c>
      <c r="G92" s="1" t="s">
        <v>62</v>
      </c>
      <c r="H92" s="1" t="s">
        <v>30</v>
      </c>
      <c r="I92" s="1">
        <v>2</v>
      </c>
      <c r="J92" s="1">
        <v>19.989999999999998</v>
      </c>
      <c r="K92" s="1">
        <v>39.979999999999997</v>
      </c>
      <c r="L92" s="1" t="s">
        <v>43</v>
      </c>
      <c r="M92" t="str">
        <f>PROPER(TRIM(SalesRaw[[#This Row],[City]]))</f>
        <v>Birmingham</v>
      </c>
      <c r="N92" t="str">
        <f>_xlfn.TEXTBEFORE(SalesRaw[[#This Row],[CustomerName]]," ")</f>
        <v>Hassan</v>
      </c>
      <c r="O92" t="str">
        <f>_xlfn.TEXTAFTER(SalesRaw[[#This Row],[CustomerName]]," ")</f>
        <v>Zimmerman</v>
      </c>
      <c r="P92" t="str">
        <f>_xlfn.TEXTAFTER(SalesRaw[[#This Row],[Email]],"@")</f>
        <v>examplemail.com</v>
      </c>
      <c r="Q92" s="7">
        <f>_xlfn.NUMBERVALUE(SUBSTITUTE(SUBSTITUTE(SalesRaw[[#This Row],[UnitPrice]],"£",""),",",""))</f>
        <v>19.989999999999998</v>
      </c>
      <c r="R92" s="7">
        <f>_xlfn.NUMBERVALUE(SUBSTITUTE(SUBSTITUTE(SalesRaw[[#This Row],[Revenue]],"£",""),",",""))</f>
        <v>39.979999999999997</v>
      </c>
      <c r="S92" s="9">
        <f>IF(ISNUMBER(SalesRaw[[#This Row],[OrderDate]]),SalesRaw[[#This Row],[OrderDate]],DATEVALUE(SalesRaw[[#This Row],[OrderDate]]))</f>
        <v>45940</v>
      </c>
      <c r="T92" t="str">
        <f>PROPER(TRIM(SalesRaw[[#This Row],[PaymentMethod]]))</f>
        <v>Cash</v>
      </c>
      <c r="U92" t="str">
        <f>TEXT(S92,"mmmm")</f>
        <v>October</v>
      </c>
      <c r="V92" t="str">
        <f>TEXT(S92,"dddd")</f>
        <v>Friday</v>
      </c>
    </row>
    <row r="93" spans="1:22" ht="15.75" customHeight="1" x14ac:dyDescent="0.35">
      <c r="A93" s="1">
        <v>100037</v>
      </c>
      <c r="B93" s="2">
        <v>45939</v>
      </c>
      <c r="C93" s="1" t="s">
        <v>141</v>
      </c>
      <c r="D93" s="1" t="s">
        <v>142</v>
      </c>
      <c r="E93" t="s">
        <v>357</v>
      </c>
      <c r="F93" s="1" t="s">
        <v>28</v>
      </c>
      <c r="G93" s="1" t="s">
        <v>37</v>
      </c>
      <c r="H93" s="1" t="s">
        <v>38</v>
      </c>
      <c r="I93" s="1">
        <v>2</v>
      </c>
      <c r="J93" s="1">
        <v>19.989999999999998</v>
      </c>
      <c r="K93" s="1">
        <v>39.979999999999997</v>
      </c>
      <c r="L93" s="1" t="s">
        <v>18</v>
      </c>
      <c r="M93" t="str">
        <f>PROPER(TRIM(SalesRaw[[#This Row],[City]]))</f>
        <v>Unknown</v>
      </c>
      <c r="N93" t="str">
        <f>_xlfn.TEXTBEFORE(SalesRaw[[#This Row],[CustomerName]]," ")</f>
        <v>Uma</v>
      </c>
      <c r="O93" t="str">
        <f>_xlfn.TEXTAFTER(SalesRaw[[#This Row],[CustomerName]]," ")</f>
        <v>Martin</v>
      </c>
      <c r="P93" t="str">
        <f>_xlfn.TEXTAFTER(SalesRaw[[#This Row],[Email]],"@")</f>
        <v>examplemail.com</v>
      </c>
      <c r="Q93" s="7">
        <f>_xlfn.NUMBERVALUE(SUBSTITUTE(SUBSTITUTE(SalesRaw[[#This Row],[UnitPrice]],"£",""),",",""))</f>
        <v>19.989999999999998</v>
      </c>
      <c r="R93" s="7">
        <f>_xlfn.NUMBERVALUE(SUBSTITUTE(SUBSTITUTE(SalesRaw[[#This Row],[Revenue]],"£",""),",",""))</f>
        <v>39.979999999999997</v>
      </c>
      <c r="S93" s="9">
        <f>IF(ISNUMBER(SalesRaw[[#This Row],[OrderDate]]),SalesRaw[[#This Row],[OrderDate]],DATEVALUE(SalesRaw[[#This Row],[OrderDate]]))</f>
        <v>45939</v>
      </c>
      <c r="T93" t="str">
        <f>PROPER(TRIM(SalesRaw[[#This Row],[PaymentMethod]]))</f>
        <v>Card</v>
      </c>
      <c r="U93" t="str">
        <f>TEXT(S93,"mmmm")</f>
        <v>October</v>
      </c>
      <c r="V93" t="str">
        <f>TEXT(S93,"dddd")</f>
        <v>Thursday</v>
      </c>
    </row>
    <row r="94" spans="1:22" ht="15.75" customHeight="1" x14ac:dyDescent="0.35">
      <c r="A94" s="1">
        <v>100058</v>
      </c>
      <c r="B94" s="2">
        <v>45922</v>
      </c>
      <c r="C94" s="1" t="s">
        <v>187</v>
      </c>
      <c r="D94" s="1" t="s">
        <v>188</v>
      </c>
      <c r="E94" s="1" t="s">
        <v>74</v>
      </c>
      <c r="F94" s="1" t="s">
        <v>61</v>
      </c>
      <c r="G94" s="1" t="s">
        <v>53</v>
      </c>
      <c r="H94" s="1" t="s">
        <v>17</v>
      </c>
      <c r="I94" s="1">
        <v>2</v>
      </c>
      <c r="J94" s="1">
        <v>19.989999999999998</v>
      </c>
      <c r="K94" s="1">
        <v>39.979999999999997</v>
      </c>
      <c r="L94" s="1" t="s">
        <v>18</v>
      </c>
      <c r="M94" t="str">
        <f>PROPER(TRIM(SalesRaw[[#This Row],[City]]))</f>
        <v>Glasgow</v>
      </c>
      <c r="N94" t="str">
        <f>_xlfn.TEXTBEFORE(SalesRaw[[#This Row],[CustomerName]]," ")</f>
        <v>Kemi</v>
      </c>
      <c r="O94" t="str">
        <f>_xlfn.TEXTAFTER(SalesRaw[[#This Row],[CustomerName]]," ")</f>
        <v>Green</v>
      </c>
      <c r="P94" t="str">
        <f>_xlfn.TEXTAFTER(SalesRaw[[#This Row],[Email]],"@")</f>
        <v>examplemail.com</v>
      </c>
      <c r="Q94" s="7">
        <f>_xlfn.NUMBERVALUE(SUBSTITUTE(SUBSTITUTE(SalesRaw[[#This Row],[UnitPrice]],"£",""),",",""))</f>
        <v>19.989999999999998</v>
      </c>
      <c r="R94" s="7">
        <f>_xlfn.NUMBERVALUE(SUBSTITUTE(SUBSTITUTE(SalesRaw[[#This Row],[Revenue]],"£",""),",",""))</f>
        <v>39.979999999999997</v>
      </c>
      <c r="S94" s="9">
        <f>IF(ISNUMBER(SalesRaw[[#This Row],[OrderDate]]),SalesRaw[[#This Row],[OrderDate]],DATEVALUE(SalesRaw[[#This Row],[OrderDate]]))</f>
        <v>45922</v>
      </c>
      <c r="T94" t="str">
        <f>PROPER(TRIM(SalesRaw[[#This Row],[PaymentMethod]]))</f>
        <v>Card</v>
      </c>
      <c r="U94" t="str">
        <f>TEXT(S94,"mmmm")</f>
        <v>September</v>
      </c>
      <c r="V94" t="str">
        <f>TEXT(S94,"dddd")</f>
        <v>Monday</v>
      </c>
    </row>
    <row r="95" spans="1:22" ht="15.75" customHeight="1" x14ac:dyDescent="0.35">
      <c r="A95" s="1">
        <v>100096</v>
      </c>
      <c r="B95" s="2">
        <v>45944</v>
      </c>
      <c r="C95" s="1" t="s">
        <v>266</v>
      </c>
      <c r="D95" s="1" t="s">
        <v>267</v>
      </c>
      <c r="E95" s="1" t="s">
        <v>21</v>
      </c>
      <c r="F95" s="1" t="s">
        <v>22</v>
      </c>
      <c r="G95" s="1" t="s">
        <v>70</v>
      </c>
      <c r="H95" s="1" t="s">
        <v>30</v>
      </c>
      <c r="I95" s="1">
        <v>2</v>
      </c>
      <c r="J95" s="1">
        <v>19.989999999999998</v>
      </c>
      <c r="K95" s="1">
        <v>39.979999999999997</v>
      </c>
      <c r="L95" s="1" t="s">
        <v>43</v>
      </c>
      <c r="M95" t="str">
        <f>PROPER(TRIM(SalesRaw[[#This Row],[City]]))</f>
        <v>Manchester</v>
      </c>
      <c r="N95" t="str">
        <f>_xlfn.TEXTBEFORE(SalesRaw[[#This Row],[CustomerName]]," ")</f>
        <v>Quinn</v>
      </c>
      <c r="O95" t="str">
        <f>_xlfn.TEXTAFTER(SalesRaw[[#This Row],[CustomerName]]," ")</f>
        <v>Chen</v>
      </c>
      <c r="P95" t="str">
        <f>_xlfn.TEXTAFTER(SalesRaw[[#This Row],[Email]],"@")</f>
        <v>examplemail.com</v>
      </c>
      <c r="Q95" s="7">
        <f>_xlfn.NUMBERVALUE(SUBSTITUTE(SUBSTITUTE(SalesRaw[[#This Row],[UnitPrice]],"£",""),",",""))</f>
        <v>19.989999999999998</v>
      </c>
      <c r="R95" s="7">
        <f>_xlfn.NUMBERVALUE(SUBSTITUTE(SUBSTITUTE(SalesRaw[[#This Row],[Revenue]],"£",""),",",""))</f>
        <v>39.979999999999997</v>
      </c>
      <c r="S95" s="9">
        <f>IF(ISNUMBER(SalesRaw[[#This Row],[OrderDate]]),SalesRaw[[#This Row],[OrderDate]],DATEVALUE(SalesRaw[[#This Row],[OrderDate]]))</f>
        <v>45944</v>
      </c>
      <c r="T95" t="str">
        <f>PROPER(TRIM(SalesRaw[[#This Row],[PaymentMethod]]))</f>
        <v>Cash</v>
      </c>
      <c r="U95" t="str">
        <f>TEXT(S95,"mmmm")</f>
        <v>October</v>
      </c>
      <c r="V95" t="str">
        <f>TEXT(S95,"dddd")</f>
        <v>Tuesday</v>
      </c>
    </row>
    <row r="96" spans="1:22" ht="15.75" customHeight="1" x14ac:dyDescent="0.35">
      <c r="A96" s="1">
        <v>100024</v>
      </c>
      <c r="B96" s="2">
        <v>45945</v>
      </c>
      <c r="C96" s="1" t="s">
        <v>109</v>
      </c>
      <c r="D96" s="1" t="s">
        <v>110</v>
      </c>
      <c r="E96" s="1" t="s">
        <v>111</v>
      </c>
      <c r="F96" s="1" t="s">
        <v>97</v>
      </c>
      <c r="G96" s="1" t="s">
        <v>89</v>
      </c>
      <c r="H96" s="1" t="s">
        <v>38</v>
      </c>
      <c r="I96" s="1" t="s">
        <v>75</v>
      </c>
      <c r="J96" s="1">
        <v>29.99</v>
      </c>
      <c r="K96" s="1">
        <v>29.99</v>
      </c>
      <c r="L96" s="1" t="s">
        <v>18</v>
      </c>
      <c r="M96" t="str">
        <f>PROPER(TRIM(SalesRaw[[#This Row],[City]]))</f>
        <v>Bristol</v>
      </c>
      <c r="N96" t="str">
        <f>_xlfn.TEXTBEFORE(SalesRaw[[#This Row],[CustomerName]]," ")</f>
        <v>Aisha</v>
      </c>
      <c r="O96" t="str">
        <f>_xlfn.TEXTAFTER(SalesRaw[[#This Row],[CustomerName]]," ")</f>
        <v>Osei</v>
      </c>
      <c r="P96" t="str">
        <f>_xlfn.TEXTAFTER(SalesRaw[[#This Row],[Email]],"@")</f>
        <v>examplemail.com</v>
      </c>
      <c r="Q96" s="7">
        <f>_xlfn.NUMBERVALUE(SUBSTITUTE(SUBSTITUTE(SalesRaw[[#This Row],[UnitPrice]],"£",""),",",""))</f>
        <v>29.99</v>
      </c>
      <c r="R96" s="7">
        <f>_xlfn.NUMBERVALUE(SUBSTITUTE(SUBSTITUTE(SalesRaw[[#This Row],[Revenue]],"£",""),",",""))</f>
        <v>29.99</v>
      </c>
      <c r="S96" s="9">
        <f>IF(ISNUMBER(SalesRaw[[#This Row],[OrderDate]]),SalesRaw[[#This Row],[OrderDate]],DATEVALUE(SalesRaw[[#This Row],[OrderDate]]))</f>
        <v>45945</v>
      </c>
      <c r="T96" t="str">
        <f>PROPER(TRIM(SalesRaw[[#This Row],[PaymentMethod]]))</f>
        <v>Card</v>
      </c>
      <c r="U96" t="str">
        <f>TEXT(S96,"mmmm")</f>
        <v>October</v>
      </c>
      <c r="V96" t="str">
        <f>TEXT(S96,"dddd")</f>
        <v>Wednesday</v>
      </c>
    </row>
    <row r="97" spans="1:22" ht="15.75" customHeight="1" x14ac:dyDescent="0.35">
      <c r="A97" s="1">
        <v>100092</v>
      </c>
      <c r="B97" s="2">
        <v>45905</v>
      </c>
      <c r="C97" s="1" t="s">
        <v>258</v>
      </c>
      <c r="D97" s="1" t="s">
        <v>259</v>
      </c>
      <c r="E97" s="1" t="s">
        <v>34</v>
      </c>
      <c r="F97" s="1" t="s">
        <v>15</v>
      </c>
      <c r="G97" s="1" t="s">
        <v>23</v>
      </c>
      <c r="H97" s="1" t="s">
        <v>24</v>
      </c>
      <c r="I97" s="1">
        <v>1</v>
      </c>
      <c r="J97" s="1">
        <v>29.99</v>
      </c>
      <c r="K97" s="1">
        <v>29.99</v>
      </c>
      <c r="L97" s="1" t="s">
        <v>54</v>
      </c>
      <c r="M97" t="str">
        <f>PROPER(TRIM(SalesRaw[[#This Row],[City]]))</f>
        <v>Leeds</v>
      </c>
      <c r="N97" t="str">
        <f>_xlfn.TEXTBEFORE(SalesRaw[[#This Row],[CustomerName]]," ")</f>
        <v>Kemi</v>
      </c>
      <c r="O97" t="str">
        <f>_xlfn.TEXTAFTER(SalesRaw[[#This Row],[CustomerName]]," ")</f>
        <v>Nguyen</v>
      </c>
      <c r="P97" t="str">
        <f>_xlfn.TEXTAFTER(SalesRaw[[#This Row],[Email]],"@")</f>
        <v>examplemail.com</v>
      </c>
      <c r="Q97" s="7">
        <f>_xlfn.NUMBERVALUE(SUBSTITUTE(SUBSTITUTE(SalesRaw[[#This Row],[UnitPrice]],"£",""),",",""))</f>
        <v>29.99</v>
      </c>
      <c r="R97" s="7">
        <f>_xlfn.NUMBERVALUE(SUBSTITUTE(SUBSTITUTE(SalesRaw[[#This Row],[Revenue]],"£",""),",",""))</f>
        <v>29.99</v>
      </c>
      <c r="S97" s="9">
        <f>IF(ISNUMBER(SalesRaw[[#This Row],[OrderDate]]),SalesRaw[[#This Row],[OrderDate]],DATEVALUE(SalesRaw[[#This Row],[OrderDate]]))</f>
        <v>45905</v>
      </c>
      <c r="T97" t="str">
        <f>PROPER(TRIM(SalesRaw[[#This Row],[PaymentMethod]]))</f>
        <v>Bank Transfer</v>
      </c>
      <c r="U97" t="str">
        <f>TEXT(S97,"mmmm")</f>
        <v>September</v>
      </c>
      <c r="V97" t="str">
        <f>TEXT(S97,"dddd")</f>
        <v>Friday</v>
      </c>
    </row>
    <row r="98" spans="1:22" ht="15.75" customHeight="1" x14ac:dyDescent="0.35">
      <c r="A98" s="1">
        <v>100098</v>
      </c>
      <c r="B98" s="2">
        <v>45978</v>
      </c>
      <c r="C98" s="1" t="s">
        <v>270</v>
      </c>
      <c r="D98" s="1" t="s">
        <v>271</v>
      </c>
      <c r="E98" s="1" t="s">
        <v>210</v>
      </c>
      <c r="F98" s="1" t="s">
        <v>22</v>
      </c>
      <c r="G98" s="1" t="s">
        <v>70</v>
      </c>
      <c r="H98" s="1" t="s">
        <v>30</v>
      </c>
      <c r="I98" s="1">
        <v>1</v>
      </c>
      <c r="J98" s="1">
        <v>29.99</v>
      </c>
      <c r="K98" s="1">
        <v>29.99</v>
      </c>
      <c r="L98" s="1" t="s">
        <v>43</v>
      </c>
      <c r="M98" t="str">
        <f>PROPER(TRIM(SalesRaw[[#This Row],[City]]))</f>
        <v>Liverpool</v>
      </c>
      <c r="N98" t="str">
        <f>_xlfn.TEXTBEFORE(SalesRaw[[#This Row],[CustomerName]]," ")</f>
        <v>Yasmin</v>
      </c>
      <c r="O98" t="str">
        <f>_xlfn.TEXTAFTER(SalesRaw[[#This Row],[CustomerName]]," ")</f>
        <v>Foster</v>
      </c>
      <c r="P98" t="str">
        <f>_xlfn.TEXTAFTER(SalesRaw[[#This Row],[Email]],"@")</f>
        <v>examplemail.com</v>
      </c>
      <c r="Q98" s="7">
        <f>_xlfn.NUMBERVALUE(SUBSTITUTE(SUBSTITUTE(SalesRaw[[#This Row],[UnitPrice]],"£",""),",",""))</f>
        <v>29.99</v>
      </c>
      <c r="R98" s="7">
        <f>_xlfn.NUMBERVALUE(SUBSTITUTE(SUBSTITUTE(SalesRaw[[#This Row],[Revenue]],"£",""),",",""))</f>
        <v>29.99</v>
      </c>
      <c r="S98" s="9">
        <f>IF(ISNUMBER(SalesRaw[[#This Row],[OrderDate]]),SalesRaw[[#This Row],[OrderDate]],DATEVALUE(SalesRaw[[#This Row],[OrderDate]]))</f>
        <v>45978</v>
      </c>
      <c r="T98" t="str">
        <f>PROPER(TRIM(SalesRaw[[#This Row],[PaymentMethod]]))</f>
        <v>Cash</v>
      </c>
      <c r="U98" t="str">
        <f>TEXT(S98,"mmmm")</f>
        <v>November</v>
      </c>
      <c r="V98" t="str">
        <f>TEXT(S98,"dddd")</f>
        <v>Monday</v>
      </c>
    </row>
    <row r="99" spans="1:22" ht="15.75" customHeight="1" x14ac:dyDescent="0.35">
      <c r="A99" s="1">
        <v>100106</v>
      </c>
      <c r="B99" s="1" t="s">
        <v>283</v>
      </c>
      <c r="C99" s="1" t="s">
        <v>284</v>
      </c>
      <c r="D99" s="1" t="s">
        <v>285</v>
      </c>
      <c r="E99" s="1" t="s">
        <v>102</v>
      </c>
      <c r="F99" s="1" t="s">
        <v>103</v>
      </c>
      <c r="G99" s="1" t="s">
        <v>37</v>
      </c>
      <c r="H99" s="1" t="s">
        <v>38</v>
      </c>
      <c r="I99" s="1">
        <v>1</v>
      </c>
      <c r="J99" s="1">
        <v>29.99</v>
      </c>
      <c r="K99" s="1">
        <v>29.99</v>
      </c>
      <c r="L99" s="1" t="s">
        <v>18</v>
      </c>
      <c r="M99" t="str">
        <f>PROPER(TRIM(SalesRaw[[#This Row],[City]]))</f>
        <v>Nottingham</v>
      </c>
      <c r="N99" t="str">
        <f>_xlfn.TEXTBEFORE(SalesRaw[[#This Row],[CustomerName]]," ")</f>
        <v>Ben</v>
      </c>
      <c r="O99" t="str">
        <f>_xlfn.TEXTAFTER(SalesRaw[[#This Row],[CustomerName]]," ")</f>
        <v>Quinn</v>
      </c>
      <c r="P99" t="str">
        <f>_xlfn.TEXTAFTER(SalesRaw[[#This Row],[Email]],"@")</f>
        <v>examplemail.com</v>
      </c>
      <c r="Q99" s="7">
        <f>_xlfn.NUMBERVALUE(SUBSTITUTE(SUBSTITUTE(SalesRaw[[#This Row],[UnitPrice]],"£",""),",",""))</f>
        <v>29.99</v>
      </c>
      <c r="R99" s="7">
        <f>_xlfn.NUMBERVALUE(SUBSTITUTE(SUBSTITUTE(SalesRaw[[#This Row],[Revenue]],"£",""),",",""))</f>
        <v>29.99</v>
      </c>
      <c r="S99" s="9">
        <f>IF(ISNUMBER(SalesRaw[[#This Row],[OrderDate]]),SalesRaw[[#This Row],[OrderDate]],DATEVALUE(SalesRaw[[#This Row],[OrderDate]]))</f>
        <v>45930</v>
      </c>
      <c r="T99" t="str">
        <f>PROPER(TRIM(SalesRaw[[#This Row],[PaymentMethod]]))</f>
        <v>Card</v>
      </c>
      <c r="U99" t="str">
        <f>TEXT(S99,"mmmm")</f>
        <v>September</v>
      </c>
      <c r="V99" t="str">
        <f>TEXT(S99,"dddd")</f>
        <v>Tuesday</v>
      </c>
    </row>
    <row r="100" spans="1:22" ht="15.75" customHeight="1" x14ac:dyDescent="0.35">
      <c r="A100" s="1">
        <v>100118</v>
      </c>
      <c r="B100" s="2">
        <v>45930</v>
      </c>
      <c r="C100" s="1" t="s">
        <v>307</v>
      </c>
      <c r="D100" s="1" t="s">
        <v>308</v>
      </c>
      <c r="E100" s="1" t="s">
        <v>28</v>
      </c>
      <c r="F100" s="1" t="s">
        <v>28</v>
      </c>
      <c r="G100" s="1" t="s">
        <v>29</v>
      </c>
      <c r="H100" s="1" t="s">
        <v>30</v>
      </c>
      <c r="I100" s="1">
        <v>1</v>
      </c>
      <c r="J100" s="1">
        <v>29.99</v>
      </c>
      <c r="K100" s="1">
        <v>29.99</v>
      </c>
      <c r="L100" s="1" t="s">
        <v>49</v>
      </c>
      <c r="M100" t="str">
        <f>PROPER(TRIM(SalesRaw[[#This Row],[City]]))</f>
        <v>London</v>
      </c>
      <c r="N100" t="str">
        <f>_xlfn.TEXTBEFORE(SalesRaw[[#This Row],[CustomerName]]," ")</f>
        <v>Noah</v>
      </c>
      <c r="O100" t="str">
        <f>_xlfn.TEXTAFTER(SalesRaw[[#This Row],[CustomerName]]," ")</f>
        <v>Foster</v>
      </c>
      <c r="P100" t="str">
        <f>_xlfn.TEXTAFTER(SalesRaw[[#This Row],[Email]],"@")</f>
        <v>examplemail.com</v>
      </c>
      <c r="Q100" s="7">
        <f>_xlfn.NUMBERVALUE(SUBSTITUTE(SUBSTITUTE(SalesRaw[[#This Row],[UnitPrice]],"£",""),",",""))</f>
        <v>29.99</v>
      </c>
      <c r="R100" s="7">
        <f>_xlfn.NUMBERVALUE(SUBSTITUTE(SUBSTITUTE(SalesRaw[[#This Row],[Revenue]],"£",""),",",""))</f>
        <v>29.99</v>
      </c>
      <c r="S100" s="9">
        <f>IF(ISNUMBER(SalesRaw[[#This Row],[OrderDate]]),SalesRaw[[#This Row],[OrderDate]],DATEVALUE(SalesRaw[[#This Row],[OrderDate]]))</f>
        <v>45930</v>
      </c>
      <c r="T100" t="str">
        <f>PROPER(TRIM(SalesRaw[[#This Row],[PaymentMethod]]))</f>
        <v>Paypal</v>
      </c>
      <c r="U100" t="str">
        <f>TEXT(S100,"mmmm")</f>
        <v>September</v>
      </c>
      <c r="V100" t="str">
        <f>TEXT(S100,"dddd")</f>
        <v>Tuesday</v>
      </c>
    </row>
    <row r="101" spans="1:22" ht="15.75" customHeight="1" x14ac:dyDescent="0.35">
      <c r="A101" s="1">
        <v>100130</v>
      </c>
      <c r="B101" s="2">
        <v>45950</v>
      </c>
      <c r="C101" s="1" t="s">
        <v>329</v>
      </c>
      <c r="D101" s="1" t="s">
        <v>330</v>
      </c>
      <c r="E101" s="1" t="s">
        <v>65</v>
      </c>
      <c r="F101" s="1" t="s">
        <v>66</v>
      </c>
      <c r="G101" s="1" t="s">
        <v>116</v>
      </c>
      <c r="H101" s="1" t="s">
        <v>83</v>
      </c>
      <c r="I101" s="1">
        <v>1</v>
      </c>
      <c r="J101" s="1">
        <v>29.99</v>
      </c>
      <c r="K101" s="1">
        <v>29.99</v>
      </c>
      <c r="L101" s="1" t="s">
        <v>54</v>
      </c>
      <c r="M101" t="str">
        <f>PROPER(TRIM(SalesRaw[[#This Row],[City]]))</f>
        <v>Cardiff</v>
      </c>
      <c r="N101" t="str">
        <f>_xlfn.TEXTBEFORE(SalesRaw[[#This Row],[CustomerName]]," ")</f>
        <v>Victor</v>
      </c>
      <c r="O101" t="str">
        <f>_xlfn.TEXTAFTER(SalesRaw[[#This Row],[CustomerName]]," ")</f>
        <v>Williams</v>
      </c>
      <c r="P101" t="str">
        <f>_xlfn.TEXTAFTER(SalesRaw[[#This Row],[Email]],"@")</f>
        <v>examplemail.com</v>
      </c>
      <c r="Q101" s="7">
        <f>_xlfn.NUMBERVALUE(SUBSTITUTE(SUBSTITUTE(SalesRaw[[#This Row],[UnitPrice]],"£",""),",",""))</f>
        <v>29.99</v>
      </c>
      <c r="R101" s="7">
        <f>_xlfn.NUMBERVALUE(SUBSTITUTE(SUBSTITUTE(SalesRaw[[#This Row],[Revenue]],"£",""),",",""))</f>
        <v>29.99</v>
      </c>
      <c r="S101" s="9">
        <f>IF(ISNUMBER(SalesRaw[[#This Row],[OrderDate]]),SalesRaw[[#This Row],[OrderDate]],DATEVALUE(SalesRaw[[#This Row],[OrderDate]]))</f>
        <v>45950</v>
      </c>
      <c r="T101" t="str">
        <f>PROPER(TRIM(SalesRaw[[#This Row],[PaymentMethod]]))</f>
        <v>Bank Transfer</v>
      </c>
      <c r="U101" t="str">
        <f>TEXT(S101,"mmmm")</f>
        <v>October</v>
      </c>
      <c r="V101" t="str">
        <f>TEXT(S101,"dddd")</f>
        <v>Monday</v>
      </c>
    </row>
    <row r="102" spans="1:22" ht="15.75" customHeight="1" x14ac:dyDescent="0.35">
      <c r="A102" s="1">
        <v>100046</v>
      </c>
      <c r="B102" s="2">
        <v>45965</v>
      </c>
      <c r="C102" s="1" t="s">
        <v>162</v>
      </c>
      <c r="D102" s="1" t="s">
        <v>163</v>
      </c>
      <c r="E102" s="1" t="s">
        <v>57</v>
      </c>
      <c r="F102" s="1" t="s">
        <v>46</v>
      </c>
      <c r="G102" s="1" t="s">
        <v>82</v>
      </c>
      <c r="H102" s="1" t="s">
        <v>83</v>
      </c>
      <c r="I102" s="1">
        <v>2</v>
      </c>
      <c r="J102" s="1">
        <v>14.99</v>
      </c>
      <c r="K102" s="1">
        <v>29.98</v>
      </c>
      <c r="L102" s="1" t="s">
        <v>18</v>
      </c>
      <c r="M102" t="str">
        <f>PROPER(TRIM(SalesRaw[[#This Row],[City]]))</f>
        <v>Birmingham</v>
      </c>
      <c r="N102" t="str">
        <f>_xlfn.TEXTBEFORE(SalesRaw[[#This Row],[CustomerName]]," ")</f>
        <v>Priya</v>
      </c>
      <c r="O102" t="str">
        <f>_xlfn.TEXTAFTER(SalesRaw[[#This Row],[CustomerName]]," ")</f>
        <v>Williams</v>
      </c>
      <c r="P102" t="str">
        <f>_xlfn.TEXTAFTER(SalesRaw[[#This Row],[Email]],"@")</f>
        <v>examplemail.com</v>
      </c>
      <c r="Q102" s="7">
        <f>_xlfn.NUMBERVALUE(SUBSTITUTE(SUBSTITUTE(SalesRaw[[#This Row],[UnitPrice]],"£",""),",",""))</f>
        <v>14.99</v>
      </c>
      <c r="R102" s="7">
        <f>_xlfn.NUMBERVALUE(SUBSTITUTE(SUBSTITUTE(SalesRaw[[#This Row],[Revenue]],"£",""),",",""))</f>
        <v>29.98</v>
      </c>
      <c r="S102" s="9">
        <f>IF(ISNUMBER(SalesRaw[[#This Row],[OrderDate]]),SalesRaw[[#This Row],[OrderDate]],DATEVALUE(SalesRaw[[#This Row],[OrderDate]]))</f>
        <v>45965</v>
      </c>
      <c r="T102" t="str">
        <f>PROPER(TRIM(SalesRaw[[#This Row],[PaymentMethod]]))</f>
        <v>Card</v>
      </c>
      <c r="U102" t="str">
        <f>TEXT(S102,"mmmm")</f>
        <v>November</v>
      </c>
      <c r="V102" t="str">
        <f>TEXT(S102,"dddd")</f>
        <v>Tuesday</v>
      </c>
    </row>
    <row r="103" spans="1:22" ht="15.75" customHeight="1" x14ac:dyDescent="0.35">
      <c r="A103" s="1">
        <v>100065</v>
      </c>
      <c r="B103" s="2">
        <v>45934</v>
      </c>
      <c r="C103" s="1" t="s">
        <v>200</v>
      </c>
      <c r="D103" s="1" t="s">
        <v>201</v>
      </c>
      <c r="E103" s="1" t="s">
        <v>57</v>
      </c>
      <c r="F103" s="1" t="s">
        <v>46</v>
      </c>
      <c r="G103" s="1" t="s">
        <v>53</v>
      </c>
      <c r="H103" s="1" t="s">
        <v>17</v>
      </c>
      <c r="I103" s="1">
        <v>2</v>
      </c>
      <c r="J103" s="1">
        <v>14.99</v>
      </c>
      <c r="K103" s="1">
        <v>29.98</v>
      </c>
      <c r="L103" s="1" t="s">
        <v>49</v>
      </c>
      <c r="M103" t="str">
        <f>PROPER(TRIM(SalesRaw[[#This Row],[City]]))</f>
        <v>Birmingham</v>
      </c>
      <c r="N103" t="str">
        <f>_xlfn.TEXTBEFORE(SalesRaw[[#This Row],[CustomerName]]," ")</f>
        <v>Zoe</v>
      </c>
      <c r="O103" t="str">
        <f>_xlfn.TEXTAFTER(SalesRaw[[#This Row],[CustomerName]]," ")</f>
        <v>Usman</v>
      </c>
      <c r="P103" t="str">
        <f>_xlfn.TEXTAFTER(SalesRaw[[#This Row],[Email]],"@")</f>
        <v>examplemail.com</v>
      </c>
      <c r="Q103" s="7">
        <f>_xlfn.NUMBERVALUE(SUBSTITUTE(SUBSTITUTE(SalesRaw[[#This Row],[UnitPrice]],"£",""),",",""))</f>
        <v>14.99</v>
      </c>
      <c r="R103" s="7">
        <f>_xlfn.NUMBERVALUE(SUBSTITUTE(SUBSTITUTE(SalesRaw[[#This Row],[Revenue]],"£",""),",",""))</f>
        <v>29.98</v>
      </c>
      <c r="S103" s="9">
        <f>IF(ISNUMBER(SalesRaw[[#This Row],[OrderDate]]),SalesRaw[[#This Row],[OrderDate]],DATEVALUE(SalesRaw[[#This Row],[OrderDate]]))</f>
        <v>45934</v>
      </c>
      <c r="T103" t="str">
        <f>PROPER(TRIM(SalesRaw[[#This Row],[PaymentMethod]]))</f>
        <v>Paypal</v>
      </c>
      <c r="U103" t="str">
        <f>TEXT(S103,"mmmm")</f>
        <v>October</v>
      </c>
      <c r="V103" t="str">
        <f>TEXT(S103,"dddd")</f>
        <v>Saturday</v>
      </c>
    </row>
    <row r="104" spans="1:22" ht="15.75" customHeight="1" x14ac:dyDescent="0.35">
      <c r="A104" s="1">
        <v>100127</v>
      </c>
      <c r="B104" s="2">
        <v>45918</v>
      </c>
      <c r="C104" s="1" t="s">
        <v>324</v>
      </c>
      <c r="D104" s="1" t="s">
        <v>325</v>
      </c>
      <c r="E104" s="1" t="s">
        <v>14</v>
      </c>
      <c r="F104" s="1" t="s">
        <v>15</v>
      </c>
      <c r="G104" s="1" t="s">
        <v>53</v>
      </c>
      <c r="H104" s="1" t="s">
        <v>17</v>
      </c>
      <c r="I104" s="1">
        <v>2</v>
      </c>
      <c r="J104" s="1">
        <v>14.99</v>
      </c>
      <c r="K104" s="1">
        <v>29.98</v>
      </c>
      <c r="L104" s="1" t="s">
        <v>18</v>
      </c>
      <c r="M104" t="str">
        <f>PROPER(TRIM(SalesRaw[[#This Row],[City]]))</f>
        <v>Sheffield</v>
      </c>
      <c r="N104" t="str">
        <f>_xlfn.TEXTBEFORE(SalesRaw[[#This Row],[CustomerName]]," ")</f>
        <v>Chloe</v>
      </c>
      <c r="O104" t="str">
        <f>_xlfn.TEXTAFTER(SalesRaw[[#This Row],[CustomerName]]," ")</f>
        <v>Evans</v>
      </c>
      <c r="P104" t="str">
        <f>_xlfn.TEXTAFTER(SalesRaw[[#This Row],[Email]],"@")</f>
        <v>examplemail.com</v>
      </c>
      <c r="Q104" s="7">
        <f>_xlfn.NUMBERVALUE(SUBSTITUTE(SUBSTITUTE(SalesRaw[[#This Row],[UnitPrice]],"£",""),",",""))</f>
        <v>14.99</v>
      </c>
      <c r="R104" s="7">
        <f>_xlfn.NUMBERVALUE(SUBSTITUTE(SUBSTITUTE(SalesRaw[[#This Row],[Revenue]],"£",""),",",""))</f>
        <v>29.98</v>
      </c>
      <c r="S104" s="9">
        <f>IF(ISNUMBER(SalesRaw[[#This Row],[OrderDate]]),SalesRaw[[#This Row],[OrderDate]],DATEVALUE(SalesRaw[[#This Row],[OrderDate]]))</f>
        <v>45918</v>
      </c>
      <c r="T104" t="str">
        <f>PROPER(TRIM(SalesRaw[[#This Row],[PaymentMethod]]))</f>
        <v>Card</v>
      </c>
      <c r="U104" t="str">
        <f>TEXT(S104,"mmmm")</f>
        <v>September</v>
      </c>
      <c r="V104" t="str">
        <f>TEXT(S104,"dddd")</f>
        <v>Thursday</v>
      </c>
    </row>
    <row r="105" spans="1:22" ht="15.75" customHeight="1" x14ac:dyDescent="0.35">
      <c r="A105" s="1">
        <v>100115</v>
      </c>
      <c r="B105" s="2">
        <v>45970</v>
      </c>
      <c r="C105" s="1" t="s">
        <v>301</v>
      </c>
      <c r="D105" s="5" t="s">
        <v>358</v>
      </c>
      <c r="E105" s="1" t="s">
        <v>34</v>
      </c>
      <c r="F105" s="1" t="s">
        <v>15</v>
      </c>
      <c r="G105" s="1" t="s">
        <v>122</v>
      </c>
      <c r="H105" s="1" t="s">
        <v>30</v>
      </c>
      <c r="I105" s="1">
        <v>3</v>
      </c>
      <c r="J105" s="1" t="s">
        <v>302</v>
      </c>
      <c r="K105" s="1">
        <v>29.97</v>
      </c>
      <c r="L105" s="1" t="s">
        <v>43</v>
      </c>
      <c r="M105" t="str">
        <f>PROPER(TRIM(SalesRaw[[#This Row],[City]]))</f>
        <v>Leeds</v>
      </c>
      <c r="N105" t="str">
        <f>_xlfn.TEXTBEFORE(SalesRaw[[#This Row],[CustomerName]]," ")</f>
        <v>Hassan</v>
      </c>
      <c r="O105" t="str">
        <f>_xlfn.TEXTAFTER(SalesRaw[[#This Row],[CustomerName]]," ")</f>
        <v>Khan</v>
      </c>
      <c r="P105" t="str">
        <f>_xlfn.TEXTAFTER(SalesRaw[[#This Row],[Email]],"@")</f>
        <v>unknoown.com</v>
      </c>
      <c r="Q105" s="7">
        <f>_xlfn.NUMBERVALUE(SUBSTITUTE(SUBSTITUTE(SalesRaw[[#This Row],[UnitPrice]],"£",""),",",""))</f>
        <v>9.99</v>
      </c>
      <c r="R105" s="7">
        <f>_xlfn.NUMBERVALUE(SUBSTITUTE(SUBSTITUTE(SalesRaw[[#This Row],[Revenue]],"£",""),",",""))</f>
        <v>29.97</v>
      </c>
      <c r="S105" s="9">
        <f>IF(ISNUMBER(SalesRaw[[#This Row],[OrderDate]]),SalesRaw[[#This Row],[OrderDate]],DATEVALUE(SalesRaw[[#This Row],[OrderDate]]))</f>
        <v>45970</v>
      </c>
      <c r="T105" t="str">
        <f>PROPER(TRIM(SalesRaw[[#This Row],[PaymentMethod]]))</f>
        <v>Cash</v>
      </c>
      <c r="U105" t="str">
        <f>TEXT(S105,"mmmm")</f>
        <v>November</v>
      </c>
      <c r="V105" t="str">
        <f>TEXT(S105,"dddd")</f>
        <v>Sunday</v>
      </c>
    </row>
    <row r="106" spans="1:22" ht="15.75" customHeight="1" x14ac:dyDescent="0.35">
      <c r="A106" s="1">
        <v>100007</v>
      </c>
      <c r="B106" s="1" t="s">
        <v>50</v>
      </c>
      <c r="C106" s="1" t="s">
        <v>51</v>
      </c>
      <c r="D106" s="1" t="s">
        <v>52</v>
      </c>
      <c r="E106" s="1" t="s">
        <v>21</v>
      </c>
      <c r="F106" s="1" t="s">
        <v>22</v>
      </c>
      <c r="G106" s="1" t="s">
        <v>53</v>
      </c>
      <c r="H106" s="1" t="s">
        <v>17</v>
      </c>
      <c r="I106" s="1">
        <v>1</v>
      </c>
      <c r="J106" s="1">
        <v>19.989999999999998</v>
      </c>
      <c r="K106" s="1">
        <v>19.989999999999998</v>
      </c>
      <c r="L106" s="1" t="s">
        <v>54</v>
      </c>
      <c r="M106" t="str">
        <f>PROPER(TRIM(SalesRaw[[#This Row],[City]]))</f>
        <v>Manchester</v>
      </c>
      <c r="N106" t="str">
        <f>_xlfn.TEXTBEFORE(SalesRaw[[#This Row],[CustomerName]]," ")</f>
        <v>Ethan</v>
      </c>
      <c r="O106" t="str">
        <f>_xlfn.TEXTAFTER(SalesRaw[[#This Row],[CustomerName]]," ")</f>
        <v>Roberts</v>
      </c>
      <c r="P106" t="str">
        <f>_xlfn.TEXTAFTER(SalesRaw[[#This Row],[Email]],"@")</f>
        <v>examplemail.com</v>
      </c>
      <c r="Q106" s="7">
        <f>_xlfn.NUMBERVALUE(SUBSTITUTE(SUBSTITUTE(SalesRaw[[#This Row],[UnitPrice]],"£",""),",",""))</f>
        <v>19.989999999999998</v>
      </c>
      <c r="R106" s="7">
        <f>_xlfn.NUMBERVALUE(SUBSTITUTE(SUBSTITUTE(SalesRaw[[#This Row],[Revenue]],"£",""),",",""))</f>
        <v>19.989999999999998</v>
      </c>
      <c r="S106" s="9">
        <f>IF(ISNUMBER(SalesRaw[[#This Row],[OrderDate]]),SalesRaw[[#This Row],[OrderDate]],DATEVALUE(SalesRaw[[#This Row],[OrderDate]]))</f>
        <v>45915</v>
      </c>
      <c r="T106" t="str">
        <f>PROPER(TRIM(SalesRaw[[#This Row],[PaymentMethod]]))</f>
        <v>Bank Transfer</v>
      </c>
      <c r="U106" t="str">
        <f>TEXT(S106,"mmmm")</f>
        <v>September</v>
      </c>
      <c r="V106" t="str">
        <f>TEXT(S106,"dddd")</f>
        <v>Monday</v>
      </c>
    </row>
    <row r="107" spans="1:22" ht="15.75" customHeight="1" x14ac:dyDescent="0.35">
      <c r="A107" s="1">
        <v>100029</v>
      </c>
      <c r="B107" s="2">
        <v>45956</v>
      </c>
      <c r="C107" s="1" t="s">
        <v>120</v>
      </c>
      <c r="D107" s="1" t="s">
        <v>121</v>
      </c>
      <c r="E107" s="1" t="s">
        <v>102</v>
      </c>
      <c r="F107" s="1" t="s">
        <v>103</v>
      </c>
      <c r="G107" s="1" t="s">
        <v>116</v>
      </c>
      <c r="H107" s="1" t="s">
        <v>83</v>
      </c>
      <c r="I107" s="1">
        <v>1</v>
      </c>
      <c r="J107" s="1">
        <v>19.989999999999998</v>
      </c>
      <c r="K107" s="1" t="s">
        <v>123</v>
      </c>
      <c r="L107" s="1" t="s">
        <v>54</v>
      </c>
      <c r="M107" t="str">
        <f>PROPER(TRIM(SalesRaw[[#This Row],[City]]))</f>
        <v>Nottingham</v>
      </c>
      <c r="N107" t="str">
        <f>_xlfn.TEXTBEFORE(SalesRaw[[#This Row],[CustomerName]]," ")</f>
        <v>Ravi</v>
      </c>
      <c r="O107" t="str">
        <f>_xlfn.TEXTAFTER(SalesRaw[[#This Row],[CustomerName]]," ")</f>
        <v>Iqbal</v>
      </c>
      <c r="P107" t="str">
        <f>_xlfn.TEXTAFTER(SalesRaw[[#This Row],[Email]],"@")</f>
        <v>examplemail.com</v>
      </c>
      <c r="Q107" s="7">
        <f>_xlfn.NUMBERVALUE(SUBSTITUTE(SUBSTITUTE(SalesRaw[[#This Row],[UnitPrice]],"£",""),",",""))</f>
        <v>19.989999999999998</v>
      </c>
      <c r="R107" s="7">
        <f>_xlfn.NUMBERVALUE(SUBSTITUTE(SUBSTITUTE(SalesRaw[[#This Row],[Revenue]],"£",""),",",""))</f>
        <v>19.989999999999998</v>
      </c>
      <c r="S107" s="9">
        <f>IF(ISNUMBER(SalesRaw[[#This Row],[OrderDate]]),SalesRaw[[#This Row],[OrderDate]],DATEVALUE(SalesRaw[[#This Row],[OrderDate]]))</f>
        <v>45956</v>
      </c>
      <c r="T107" t="str">
        <f>PROPER(TRIM(SalesRaw[[#This Row],[PaymentMethod]]))</f>
        <v>Bank Transfer</v>
      </c>
      <c r="U107" t="str">
        <f>TEXT(S107,"mmmm")</f>
        <v>October</v>
      </c>
      <c r="V107" t="str">
        <f>TEXT(S107,"dddd")</f>
        <v>Sunday</v>
      </c>
    </row>
    <row r="108" spans="1:22" ht="15.75" customHeight="1" x14ac:dyDescent="0.35">
      <c r="A108" s="1">
        <v>100051</v>
      </c>
      <c r="B108" s="2">
        <v>45924</v>
      </c>
      <c r="C108" s="1" t="s">
        <v>173</v>
      </c>
      <c r="D108" s="1" t="s">
        <v>174</v>
      </c>
      <c r="E108" s="1" t="s">
        <v>65</v>
      </c>
      <c r="F108" s="1" t="s">
        <v>66</v>
      </c>
      <c r="G108" s="1" t="s">
        <v>70</v>
      </c>
      <c r="H108" s="1" t="s">
        <v>30</v>
      </c>
      <c r="I108" s="1">
        <v>1</v>
      </c>
      <c r="J108" s="1">
        <v>19.989999999999998</v>
      </c>
      <c r="K108" s="1">
        <v>19.989999999999998</v>
      </c>
      <c r="L108" s="1" t="s">
        <v>43</v>
      </c>
      <c r="M108" t="str">
        <f>PROPER(TRIM(SalesRaw[[#This Row],[City]]))</f>
        <v>Cardiff</v>
      </c>
      <c r="N108" t="str">
        <f>_xlfn.TEXTBEFORE(SalesRaw[[#This Row],[CustomerName]]," ")</f>
        <v>Uma</v>
      </c>
      <c r="O108" t="str">
        <f>_xlfn.TEXTAFTER(SalesRaw[[#This Row],[CustomerName]]," ")</f>
        <v>Hughes</v>
      </c>
      <c r="P108" t="str">
        <f>_xlfn.TEXTAFTER(SalesRaw[[#This Row],[Email]],"@")</f>
        <v>examplemail.com</v>
      </c>
      <c r="Q108" s="7">
        <f>_xlfn.NUMBERVALUE(SUBSTITUTE(SUBSTITUTE(SalesRaw[[#This Row],[UnitPrice]],"£",""),",",""))</f>
        <v>19.989999999999998</v>
      </c>
      <c r="R108" s="7">
        <f>_xlfn.NUMBERVALUE(SUBSTITUTE(SUBSTITUTE(SalesRaw[[#This Row],[Revenue]],"£",""),",",""))</f>
        <v>19.989999999999998</v>
      </c>
      <c r="S108" s="9">
        <f>IF(ISNUMBER(SalesRaw[[#This Row],[OrderDate]]),SalesRaw[[#This Row],[OrderDate]],DATEVALUE(SalesRaw[[#This Row],[OrderDate]]))</f>
        <v>45924</v>
      </c>
      <c r="T108" t="str">
        <f>PROPER(TRIM(SalesRaw[[#This Row],[PaymentMethod]]))</f>
        <v>Cash</v>
      </c>
      <c r="U108" t="str">
        <f>TEXT(S108,"mmmm")</f>
        <v>September</v>
      </c>
      <c r="V108" t="str">
        <f>TEXT(S108,"dddd")</f>
        <v>Wednesday</v>
      </c>
    </row>
    <row r="109" spans="1:22" ht="15.75" customHeight="1" x14ac:dyDescent="0.35">
      <c r="A109" s="1">
        <v>100064</v>
      </c>
      <c r="B109" s="2">
        <v>45920</v>
      </c>
      <c r="C109" s="1" t="s">
        <v>126</v>
      </c>
      <c r="D109" s="1" t="s">
        <v>127</v>
      </c>
      <c r="E109" s="1" t="s">
        <v>28</v>
      </c>
      <c r="F109" s="1" t="s">
        <v>28</v>
      </c>
      <c r="G109" s="1" t="s">
        <v>89</v>
      </c>
      <c r="H109" s="1" t="s">
        <v>38</v>
      </c>
      <c r="I109" s="1">
        <v>1</v>
      </c>
      <c r="J109" s="1">
        <v>19.989999999999998</v>
      </c>
      <c r="K109" s="1">
        <v>19.989999999999998</v>
      </c>
      <c r="L109" s="1" t="s">
        <v>31</v>
      </c>
      <c r="M109" t="str">
        <f>PROPER(TRIM(SalesRaw[[#This Row],[City]]))</f>
        <v>London</v>
      </c>
      <c r="N109" t="str">
        <f>_xlfn.TEXTBEFORE(SalesRaw[[#This Row],[CustomerName]]," ")</f>
        <v>Fatima</v>
      </c>
      <c r="O109" t="str">
        <f>_xlfn.TEXTAFTER(SalesRaw[[#This Row],[CustomerName]]," ")</f>
        <v>Evans</v>
      </c>
      <c r="P109" t="str">
        <f>_xlfn.TEXTAFTER(SalesRaw[[#This Row],[Email]],"@")</f>
        <v>examplemail.com</v>
      </c>
      <c r="Q109" s="7">
        <f>_xlfn.NUMBERVALUE(SUBSTITUTE(SUBSTITUTE(SalesRaw[[#This Row],[UnitPrice]],"£",""),",",""))</f>
        <v>19.989999999999998</v>
      </c>
      <c r="R109" s="7">
        <f>_xlfn.NUMBERVALUE(SUBSTITUTE(SUBSTITUTE(SalesRaw[[#This Row],[Revenue]],"£",""),",",""))</f>
        <v>19.989999999999998</v>
      </c>
      <c r="S109" s="9">
        <f>IF(ISNUMBER(SalesRaw[[#This Row],[OrderDate]]),SalesRaw[[#This Row],[OrderDate]],DATEVALUE(SalesRaw[[#This Row],[OrderDate]]))</f>
        <v>45920</v>
      </c>
      <c r="T109" t="str">
        <f>PROPER(TRIM(SalesRaw[[#This Row],[PaymentMethod]]))</f>
        <v>Paypal</v>
      </c>
      <c r="U109" t="str">
        <f>TEXT(S109,"mmmm")</f>
        <v>September</v>
      </c>
      <c r="V109" t="str">
        <f>TEXT(S109,"dddd")</f>
        <v>Saturday</v>
      </c>
    </row>
    <row r="110" spans="1:22" ht="15.75" customHeight="1" x14ac:dyDescent="0.35">
      <c r="A110" s="1">
        <v>100075</v>
      </c>
      <c r="B110" s="2">
        <v>45922</v>
      </c>
      <c r="C110" s="1" t="s">
        <v>221</v>
      </c>
      <c r="D110" s="1" t="s">
        <v>222</v>
      </c>
      <c r="E110" s="1" t="s">
        <v>57</v>
      </c>
      <c r="F110" s="1" t="s">
        <v>46</v>
      </c>
      <c r="G110" s="1" t="s">
        <v>89</v>
      </c>
      <c r="H110" s="1" t="s">
        <v>38</v>
      </c>
      <c r="I110" s="1">
        <v>1</v>
      </c>
      <c r="J110" s="1" t="s">
        <v>123</v>
      </c>
      <c r="K110" s="1">
        <v>19.989999999999998</v>
      </c>
      <c r="L110" s="1" t="s">
        <v>43</v>
      </c>
      <c r="M110" t="str">
        <f>PROPER(TRIM(SalesRaw[[#This Row],[City]]))</f>
        <v>Birmingham</v>
      </c>
      <c r="N110" t="str">
        <f>_xlfn.TEXTBEFORE(SalesRaw[[#This Row],[CustomerName]]," ")</f>
        <v>Yasmin</v>
      </c>
      <c r="O110" t="str">
        <f>_xlfn.TEXTAFTER(SalesRaw[[#This Row],[CustomerName]]," ")</f>
        <v>Zimmerman</v>
      </c>
      <c r="P110" t="str">
        <f>_xlfn.TEXTAFTER(SalesRaw[[#This Row],[Email]],"@")</f>
        <v>examplemail.com</v>
      </c>
      <c r="Q110" s="7">
        <f>_xlfn.NUMBERVALUE(SUBSTITUTE(SUBSTITUTE(SalesRaw[[#This Row],[UnitPrice]],"£",""),",",""))</f>
        <v>19.989999999999998</v>
      </c>
      <c r="R110" s="7">
        <f>_xlfn.NUMBERVALUE(SUBSTITUTE(SUBSTITUTE(SalesRaw[[#This Row],[Revenue]],"£",""),",",""))</f>
        <v>19.989999999999998</v>
      </c>
      <c r="S110" s="9">
        <f>IF(ISNUMBER(SalesRaw[[#This Row],[OrderDate]]),SalesRaw[[#This Row],[OrderDate]],DATEVALUE(SalesRaw[[#This Row],[OrderDate]]))</f>
        <v>45922</v>
      </c>
      <c r="T110" t="str">
        <f>PROPER(TRIM(SalesRaw[[#This Row],[PaymentMethod]]))</f>
        <v>Cash</v>
      </c>
      <c r="U110" t="str">
        <f>TEXT(S110,"mmmm")</f>
        <v>September</v>
      </c>
      <c r="V110" t="str">
        <f>TEXT(S110,"dddd")</f>
        <v>Monday</v>
      </c>
    </row>
    <row r="111" spans="1:22" ht="15.75" customHeight="1" x14ac:dyDescent="0.35">
      <c r="A111" s="1">
        <v>100078</v>
      </c>
      <c r="B111" s="2">
        <v>45959</v>
      </c>
      <c r="C111" s="1" t="s">
        <v>226</v>
      </c>
      <c r="D111" s="1" t="s">
        <v>227</v>
      </c>
      <c r="E111" s="1" t="s">
        <v>21</v>
      </c>
      <c r="F111" s="1" t="s">
        <v>22</v>
      </c>
      <c r="G111" s="1" t="s">
        <v>82</v>
      </c>
      <c r="H111" s="1" t="s">
        <v>83</v>
      </c>
      <c r="I111" s="1">
        <v>1</v>
      </c>
      <c r="J111" s="1" t="s">
        <v>123</v>
      </c>
      <c r="K111" s="1" t="s">
        <v>123</v>
      </c>
      <c r="L111" s="1" t="s">
        <v>18</v>
      </c>
      <c r="M111" t="str">
        <f>PROPER(TRIM(SalesRaw[[#This Row],[City]]))</f>
        <v>Manchester</v>
      </c>
      <c r="N111" t="str">
        <f>_xlfn.TEXTBEFORE(SalesRaw[[#This Row],[CustomerName]]," ")</f>
        <v>Zoe</v>
      </c>
      <c r="O111" t="str">
        <f>_xlfn.TEXTAFTER(SalesRaw[[#This Row],[CustomerName]]," ")</f>
        <v>Young</v>
      </c>
      <c r="P111" t="str">
        <f>_xlfn.TEXTAFTER(SalesRaw[[#This Row],[Email]],"@")</f>
        <v>examplemail.com</v>
      </c>
      <c r="Q111" s="7">
        <f>_xlfn.NUMBERVALUE(SUBSTITUTE(SUBSTITUTE(SalesRaw[[#This Row],[UnitPrice]],"£",""),",",""))</f>
        <v>19.989999999999998</v>
      </c>
      <c r="R111" s="7">
        <f>_xlfn.NUMBERVALUE(SUBSTITUTE(SUBSTITUTE(SalesRaw[[#This Row],[Revenue]],"£",""),",",""))</f>
        <v>19.989999999999998</v>
      </c>
      <c r="S111" s="9">
        <f>IF(ISNUMBER(SalesRaw[[#This Row],[OrderDate]]),SalesRaw[[#This Row],[OrderDate]],DATEVALUE(SalesRaw[[#This Row],[OrderDate]]))</f>
        <v>45959</v>
      </c>
      <c r="T111" t="str">
        <f>PROPER(TRIM(SalesRaw[[#This Row],[PaymentMethod]]))</f>
        <v>Card</v>
      </c>
      <c r="U111" t="str">
        <f>TEXT(S111,"mmmm")</f>
        <v>October</v>
      </c>
      <c r="V111" t="str">
        <f>TEXT(S111,"dddd")</f>
        <v>Wednesday</v>
      </c>
    </row>
    <row r="112" spans="1:22" ht="15.75" customHeight="1" x14ac:dyDescent="0.35">
      <c r="A112" s="1">
        <v>100082</v>
      </c>
      <c r="B112" s="2">
        <v>45910</v>
      </c>
      <c r="C112" s="1" t="s">
        <v>169</v>
      </c>
      <c r="D112" s="1" t="s">
        <v>170</v>
      </c>
      <c r="E112" s="1" t="s">
        <v>74</v>
      </c>
      <c r="F112" s="1" t="s">
        <v>61</v>
      </c>
      <c r="G112" s="1" t="s">
        <v>82</v>
      </c>
      <c r="H112" s="1" t="s">
        <v>83</v>
      </c>
      <c r="I112" s="1">
        <v>1</v>
      </c>
      <c r="J112" s="1">
        <v>19.989999999999998</v>
      </c>
      <c r="K112" s="1">
        <v>19.989999999999998</v>
      </c>
      <c r="L112" s="1" t="s">
        <v>31</v>
      </c>
      <c r="M112" t="str">
        <f>PROPER(TRIM(SalesRaw[[#This Row],[City]]))</f>
        <v>Glasgow</v>
      </c>
      <c r="N112" t="str">
        <f>_xlfn.TEXTBEFORE(SalesRaw[[#This Row],[CustomerName]]," ")</f>
        <v>Wendy</v>
      </c>
      <c r="O112" t="str">
        <f>_xlfn.TEXTAFTER(SalesRaw[[#This Row],[CustomerName]]," ")</f>
        <v>Iqbal</v>
      </c>
      <c r="P112" t="str">
        <f>_xlfn.TEXTAFTER(SalesRaw[[#This Row],[Email]],"@")</f>
        <v>examplemail.com</v>
      </c>
      <c r="Q112" s="7">
        <f>_xlfn.NUMBERVALUE(SUBSTITUTE(SUBSTITUTE(SalesRaw[[#This Row],[UnitPrice]],"£",""),",",""))</f>
        <v>19.989999999999998</v>
      </c>
      <c r="R112" s="7">
        <f>_xlfn.NUMBERVALUE(SUBSTITUTE(SUBSTITUTE(SalesRaw[[#This Row],[Revenue]],"£",""),",",""))</f>
        <v>19.989999999999998</v>
      </c>
      <c r="S112" s="9">
        <f>IF(ISNUMBER(SalesRaw[[#This Row],[OrderDate]]),SalesRaw[[#This Row],[OrderDate]],DATEVALUE(SalesRaw[[#This Row],[OrderDate]]))</f>
        <v>45910</v>
      </c>
      <c r="T112" t="str">
        <f>PROPER(TRIM(SalesRaw[[#This Row],[PaymentMethod]]))</f>
        <v>Paypal</v>
      </c>
      <c r="U112" t="str">
        <f>TEXT(S112,"mmmm")</f>
        <v>September</v>
      </c>
      <c r="V112" t="str">
        <f>TEXT(S112,"dddd")</f>
        <v>Wednesday</v>
      </c>
    </row>
    <row r="113" spans="1:22" ht="15.75" customHeight="1" x14ac:dyDescent="0.35">
      <c r="A113" s="1">
        <v>100091</v>
      </c>
      <c r="B113" s="1" t="s">
        <v>255</v>
      </c>
      <c r="C113" s="1" t="s">
        <v>256</v>
      </c>
      <c r="D113" s="1" t="s">
        <v>257</v>
      </c>
      <c r="E113" s="1" t="s">
        <v>14</v>
      </c>
      <c r="F113" s="1" t="s">
        <v>15</v>
      </c>
      <c r="G113" s="1" t="s">
        <v>82</v>
      </c>
      <c r="H113" s="1" t="s">
        <v>83</v>
      </c>
      <c r="I113" s="1">
        <v>1</v>
      </c>
      <c r="J113" s="1">
        <v>19.989999999999998</v>
      </c>
      <c r="K113" s="1">
        <v>19.989999999999998</v>
      </c>
      <c r="L113" s="1" t="s">
        <v>31</v>
      </c>
      <c r="M113" t="str">
        <f>PROPER(TRIM(SalesRaw[[#This Row],[City]]))</f>
        <v>Sheffield</v>
      </c>
      <c r="N113" t="str">
        <f>_xlfn.TEXTBEFORE(SalesRaw[[#This Row],[CustomerName]]," ")</f>
        <v>Fatima</v>
      </c>
      <c r="O113" t="str">
        <f>_xlfn.TEXTAFTER(SalesRaw[[#This Row],[CustomerName]]," ")</f>
        <v>Williams</v>
      </c>
      <c r="P113" t="str">
        <f>_xlfn.TEXTAFTER(SalesRaw[[#This Row],[Email]],"@")</f>
        <v>examplemail.com</v>
      </c>
      <c r="Q113" s="7">
        <f>_xlfn.NUMBERVALUE(SUBSTITUTE(SUBSTITUTE(SalesRaw[[#This Row],[UnitPrice]],"£",""),",",""))</f>
        <v>19.989999999999998</v>
      </c>
      <c r="R113" s="7">
        <f>_xlfn.NUMBERVALUE(SUBSTITUTE(SUBSTITUTE(SalesRaw[[#This Row],[Revenue]],"£",""),",",""))</f>
        <v>19.989999999999998</v>
      </c>
      <c r="S113" s="9">
        <f>IF(ISNUMBER(SalesRaw[[#This Row],[OrderDate]]),SalesRaw[[#This Row],[OrderDate]],DATEVALUE(SalesRaw[[#This Row],[OrderDate]]))</f>
        <v>45949</v>
      </c>
      <c r="T113" t="str">
        <f>PROPER(TRIM(SalesRaw[[#This Row],[PaymentMethod]]))</f>
        <v>Paypal</v>
      </c>
      <c r="U113" t="str">
        <f>TEXT(S113,"mmmm")</f>
        <v>October</v>
      </c>
      <c r="V113" t="str">
        <f>TEXT(S113,"dddd")</f>
        <v>Sunday</v>
      </c>
    </row>
    <row r="114" spans="1:22" ht="15.75" customHeight="1" x14ac:dyDescent="0.35">
      <c r="A114" s="1">
        <v>100105</v>
      </c>
      <c r="B114" s="2">
        <v>45980</v>
      </c>
      <c r="C114" s="1" t="s">
        <v>281</v>
      </c>
      <c r="D114" s="1" t="s">
        <v>282</v>
      </c>
      <c r="E114" s="1" t="s">
        <v>14</v>
      </c>
      <c r="F114" s="1" t="s">
        <v>15</v>
      </c>
      <c r="G114" s="1" t="s">
        <v>47</v>
      </c>
      <c r="H114" s="1" t="s">
        <v>24</v>
      </c>
      <c r="I114" s="1">
        <v>1</v>
      </c>
      <c r="J114" s="1" t="s">
        <v>123</v>
      </c>
      <c r="K114" s="1">
        <v>19.989999999999998</v>
      </c>
      <c r="L114" s="1" t="s">
        <v>43</v>
      </c>
      <c r="M114" t="str">
        <f>PROPER(TRIM(SalesRaw[[#This Row],[City]]))</f>
        <v>Sheffield</v>
      </c>
      <c r="N114" t="str">
        <f>_xlfn.TEXTBEFORE(SalesRaw[[#This Row],[CustomerName]]," ")</f>
        <v>Kemi</v>
      </c>
      <c r="O114" t="str">
        <f>_xlfn.TEXTAFTER(SalesRaw[[#This Row],[CustomerName]]," ")</f>
        <v>Roberts</v>
      </c>
      <c r="P114" t="str">
        <f>_xlfn.TEXTAFTER(SalesRaw[[#This Row],[Email]],"@")</f>
        <v>examplemail.com</v>
      </c>
      <c r="Q114" s="7">
        <f>_xlfn.NUMBERVALUE(SUBSTITUTE(SUBSTITUTE(SalesRaw[[#This Row],[UnitPrice]],"£",""),",",""))</f>
        <v>19.989999999999998</v>
      </c>
      <c r="R114" s="7">
        <f>_xlfn.NUMBERVALUE(SUBSTITUTE(SUBSTITUTE(SalesRaw[[#This Row],[Revenue]],"£",""),",",""))</f>
        <v>19.989999999999998</v>
      </c>
      <c r="S114" s="9">
        <f>IF(ISNUMBER(SalesRaw[[#This Row],[OrderDate]]),SalesRaw[[#This Row],[OrderDate]],DATEVALUE(SalesRaw[[#This Row],[OrderDate]]))</f>
        <v>45980</v>
      </c>
      <c r="T114" t="str">
        <f>PROPER(TRIM(SalesRaw[[#This Row],[PaymentMethod]]))</f>
        <v>Cash</v>
      </c>
      <c r="U114" t="str">
        <f>TEXT(S114,"mmmm")</f>
        <v>November</v>
      </c>
      <c r="V114" t="str">
        <f>TEXT(S114,"dddd")</f>
        <v>Wednesday</v>
      </c>
    </row>
    <row r="115" spans="1:22" ht="15.75" customHeight="1" x14ac:dyDescent="0.35">
      <c r="A115" s="1">
        <v>100008</v>
      </c>
      <c r="B115" s="2">
        <v>45924</v>
      </c>
      <c r="C115" s="1" t="s">
        <v>55</v>
      </c>
      <c r="D115" s="1" t="s">
        <v>56</v>
      </c>
      <c r="E115" s="1" t="s">
        <v>57</v>
      </c>
      <c r="F115" s="1" t="s">
        <v>46</v>
      </c>
      <c r="G115" s="1" t="s">
        <v>29</v>
      </c>
      <c r="H115" s="1" t="s">
        <v>30</v>
      </c>
      <c r="I115" s="1">
        <v>2</v>
      </c>
      <c r="J115" s="1">
        <v>9.99</v>
      </c>
      <c r="K115" s="1">
        <v>19.98</v>
      </c>
      <c r="L115" s="1" t="s">
        <v>43</v>
      </c>
      <c r="M115" t="str">
        <f>PROPER(TRIM(SalesRaw[[#This Row],[City]]))</f>
        <v>Birmingham</v>
      </c>
      <c r="N115" t="str">
        <f>_xlfn.TEXTBEFORE(SalesRaw[[#This Row],[CustomerName]]," ")</f>
        <v>Ravi</v>
      </c>
      <c r="O115" t="str">
        <f>_xlfn.TEXTAFTER(SalesRaw[[#This Row],[CustomerName]]," ")</f>
        <v>Vaughan</v>
      </c>
      <c r="P115" t="str">
        <f>_xlfn.TEXTAFTER(SalesRaw[[#This Row],[Email]],"@")</f>
        <v>examplemail.com</v>
      </c>
      <c r="Q115" s="7">
        <f>_xlfn.NUMBERVALUE(SUBSTITUTE(SUBSTITUTE(SalesRaw[[#This Row],[UnitPrice]],"£",""),",",""))</f>
        <v>9.99</v>
      </c>
      <c r="R115" s="7">
        <f>_xlfn.NUMBERVALUE(SUBSTITUTE(SUBSTITUTE(SalesRaw[[#This Row],[Revenue]],"£",""),",",""))</f>
        <v>19.98</v>
      </c>
      <c r="S115" s="9">
        <f>IF(ISNUMBER(SalesRaw[[#This Row],[OrderDate]]),SalesRaw[[#This Row],[OrderDate]],DATEVALUE(SalesRaw[[#This Row],[OrderDate]]))</f>
        <v>45924</v>
      </c>
      <c r="T115" t="str">
        <f>PROPER(TRIM(SalesRaw[[#This Row],[PaymentMethod]]))</f>
        <v>Cash</v>
      </c>
      <c r="U115" t="str">
        <f>TEXT(S115,"mmmm")</f>
        <v>September</v>
      </c>
      <c r="V115" t="str">
        <f>TEXT(S115,"dddd")</f>
        <v>Wednesday</v>
      </c>
    </row>
    <row r="116" spans="1:22" ht="15.75" customHeight="1" x14ac:dyDescent="0.35">
      <c r="A116" s="1">
        <v>100026</v>
      </c>
      <c r="B116" s="2">
        <v>45970</v>
      </c>
      <c r="C116" s="1" t="s">
        <v>114</v>
      </c>
      <c r="D116" s="1" t="s">
        <v>115</v>
      </c>
      <c r="E116" s="1" t="s">
        <v>34</v>
      </c>
      <c r="F116" s="1" t="s">
        <v>15</v>
      </c>
      <c r="G116" s="1" t="s">
        <v>116</v>
      </c>
      <c r="H116" s="1" t="s">
        <v>83</v>
      </c>
      <c r="I116" s="1">
        <v>2</v>
      </c>
      <c r="J116" s="1">
        <v>9.99</v>
      </c>
      <c r="K116" s="1">
        <v>19.98</v>
      </c>
      <c r="L116" s="1" t="s">
        <v>31</v>
      </c>
      <c r="M116" t="str">
        <f>PROPER(TRIM(SalesRaw[[#This Row],[City]]))</f>
        <v>Leeds</v>
      </c>
      <c r="N116" t="str">
        <f>_xlfn.TEXTBEFORE(SalesRaw[[#This Row],[CustomerName]]," ")</f>
        <v>Ethan</v>
      </c>
      <c r="O116" t="str">
        <f>_xlfn.TEXTAFTER(SalesRaw[[#This Row],[CustomerName]]," ")</f>
        <v>Xu</v>
      </c>
      <c r="P116" t="str">
        <f>_xlfn.TEXTAFTER(SalesRaw[[#This Row],[Email]],"@")</f>
        <v>examplemail.com</v>
      </c>
      <c r="Q116" s="7">
        <f>_xlfn.NUMBERVALUE(SUBSTITUTE(SUBSTITUTE(SalesRaw[[#This Row],[UnitPrice]],"£",""),",",""))</f>
        <v>9.99</v>
      </c>
      <c r="R116" s="7">
        <f>_xlfn.NUMBERVALUE(SUBSTITUTE(SUBSTITUTE(SalesRaw[[#This Row],[Revenue]],"£",""),",",""))</f>
        <v>19.98</v>
      </c>
      <c r="S116" s="9">
        <f>IF(ISNUMBER(SalesRaw[[#This Row],[OrderDate]]),SalesRaw[[#This Row],[OrderDate]],DATEVALUE(SalesRaw[[#This Row],[OrderDate]]))</f>
        <v>45970</v>
      </c>
      <c r="T116" t="str">
        <f>PROPER(TRIM(SalesRaw[[#This Row],[PaymentMethod]]))</f>
        <v>Paypal</v>
      </c>
      <c r="U116" t="str">
        <f>TEXT(S116,"mmmm")</f>
        <v>November</v>
      </c>
      <c r="V116" t="str">
        <f>TEXT(S116,"dddd")</f>
        <v>Sunday</v>
      </c>
    </row>
    <row r="117" spans="1:22" ht="15.75" customHeight="1" x14ac:dyDescent="0.35">
      <c r="A117" s="1">
        <v>100045</v>
      </c>
      <c r="B117" s="2">
        <v>45902</v>
      </c>
      <c r="C117" s="1" t="s">
        <v>160</v>
      </c>
      <c r="D117" s="1" t="s">
        <v>161</v>
      </c>
      <c r="E117" s="1" t="s">
        <v>102</v>
      </c>
      <c r="F117" s="1" t="s">
        <v>103</v>
      </c>
      <c r="G117" s="1" t="s">
        <v>23</v>
      </c>
      <c r="H117" s="1" t="s">
        <v>24</v>
      </c>
      <c r="I117" s="1">
        <v>2</v>
      </c>
      <c r="J117" s="1">
        <v>9.99</v>
      </c>
      <c r="K117" s="1">
        <v>19.98</v>
      </c>
      <c r="L117" s="1" t="s">
        <v>54</v>
      </c>
      <c r="M117" t="str">
        <f>PROPER(TRIM(SalesRaw[[#This Row],[City]]))</f>
        <v>Nottingham</v>
      </c>
      <c r="N117" t="str">
        <f>_xlfn.TEXTBEFORE(SalesRaw[[#This Row],[CustomerName]]," ")</f>
        <v>Ethan</v>
      </c>
      <c r="O117" t="str">
        <f>_xlfn.TEXTAFTER(SalesRaw[[#This Row],[CustomerName]]," ")</f>
        <v>Davis</v>
      </c>
      <c r="P117" t="str">
        <f>_xlfn.TEXTAFTER(SalesRaw[[#This Row],[Email]],"@")</f>
        <v>examplemail.com</v>
      </c>
      <c r="Q117" s="7">
        <f>_xlfn.NUMBERVALUE(SUBSTITUTE(SUBSTITUTE(SalesRaw[[#This Row],[UnitPrice]],"£",""),",",""))</f>
        <v>9.99</v>
      </c>
      <c r="R117" s="7">
        <f>_xlfn.NUMBERVALUE(SUBSTITUTE(SUBSTITUTE(SalesRaw[[#This Row],[Revenue]],"£",""),",",""))</f>
        <v>19.98</v>
      </c>
      <c r="S117" s="9">
        <f>IF(ISNUMBER(SalesRaw[[#This Row],[OrderDate]]),SalesRaw[[#This Row],[OrderDate]],DATEVALUE(SalesRaw[[#This Row],[OrderDate]]))</f>
        <v>45902</v>
      </c>
      <c r="T117" t="str">
        <f>PROPER(TRIM(SalesRaw[[#This Row],[PaymentMethod]]))</f>
        <v>Bank Transfer</v>
      </c>
      <c r="U117" t="str">
        <f>TEXT(S117,"mmmm")</f>
        <v>September</v>
      </c>
      <c r="V117" t="str">
        <f>TEXT(S117,"dddd")</f>
        <v>Tuesday</v>
      </c>
    </row>
    <row r="118" spans="1:22" ht="15.75" customHeight="1" x14ac:dyDescent="0.35">
      <c r="A118" s="1">
        <v>100067</v>
      </c>
      <c r="B118" s="2">
        <v>45958</v>
      </c>
      <c r="C118" s="1" t="s">
        <v>204</v>
      </c>
      <c r="D118" s="1" t="s">
        <v>205</v>
      </c>
      <c r="E118" s="1" t="s">
        <v>102</v>
      </c>
      <c r="F118" s="1" t="s">
        <v>103</v>
      </c>
      <c r="G118" s="1" t="s">
        <v>16</v>
      </c>
      <c r="H118" s="1" t="s">
        <v>17</v>
      </c>
      <c r="I118" s="1">
        <v>2</v>
      </c>
      <c r="J118" s="1">
        <v>9.99</v>
      </c>
      <c r="K118" s="1">
        <v>19.98</v>
      </c>
      <c r="L118" s="1" t="s">
        <v>18</v>
      </c>
      <c r="M118" t="str">
        <f>PROPER(TRIM(SalesRaw[[#This Row],[City]]))</f>
        <v>Nottingham</v>
      </c>
      <c r="N118" t="str">
        <f>_xlfn.TEXTBEFORE(SalesRaw[[#This Row],[CustomerName]]," ")</f>
        <v>Aisha</v>
      </c>
      <c r="O118" t="str">
        <f>_xlfn.TEXTAFTER(SalesRaw[[#This Row],[CustomerName]]," ")</f>
        <v>Ahmed</v>
      </c>
      <c r="P118" t="str">
        <f>_xlfn.TEXTAFTER(SalesRaw[[#This Row],[Email]],"@")</f>
        <v>examplemail.com</v>
      </c>
      <c r="Q118" s="7">
        <f>_xlfn.NUMBERVALUE(SUBSTITUTE(SUBSTITUTE(SalesRaw[[#This Row],[UnitPrice]],"£",""),",",""))</f>
        <v>9.99</v>
      </c>
      <c r="R118" s="7">
        <f>_xlfn.NUMBERVALUE(SUBSTITUTE(SUBSTITUTE(SalesRaw[[#This Row],[Revenue]],"£",""),",",""))</f>
        <v>19.98</v>
      </c>
      <c r="S118" s="9">
        <f>IF(ISNUMBER(SalesRaw[[#This Row],[OrderDate]]),SalesRaw[[#This Row],[OrderDate]],DATEVALUE(SalesRaw[[#This Row],[OrderDate]]))</f>
        <v>45958</v>
      </c>
      <c r="T118" t="str">
        <f>PROPER(TRIM(SalesRaw[[#This Row],[PaymentMethod]]))</f>
        <v>Card</v>
      </c>
      <c r="U118" t="str">
        <f>TEXT(S118,"mmmm")</f>
        <v>October</v>
      </c>
      <c r="V118" t="str">
        <f>TEXT(S118,"dddd")</f>
        <v>Tuesday</v>
      </c>
    </row>
    <row r="119" spans="1:22" ht="15.75" customHeight="1" x14ac:dyDescent="0.35">
      <c r="A119" s="1">
        <v>100083</v>
      </c>
      <c r="B119" s="2">
        <v>45977</v>
      </c>
      <c r="C119" s="1" t="s">
        <v>211</v>
      </c>
      <c r="D119" s="1" t="s">
        <v>212</v>
      </c>
      <c r="E119" s="1" t="s">
        <v>235</v>
      </c>
      <c r="F119" s="1" t="s">
        <v>103</v>
      </c>
      <c r="G119" s="1" t="s">
        <v>82</v>
      </c>
      <c r="H119" s="1" t="s">
        <v>83</v>
      </c>
      <c r="I119" s="1">
        <v>2</v>
      </c>
      <c r="J119" s="1">
        <v>9.99</v>
      </c>
      <c r="K119" s="1">
        <v>19.98</v>
      </c>
      <c r="L119" s="1" t="s">
        <v>54</v>
      </c>
      <c r="M119" t="str">
        <f>PROPER(TRIM(SalesRaw[[#This Row],[City]]))</f>
        <v>Nottingham</v>
      </c>
      <c r="N119" t="str">
        <f>_xlfn.TEXTBEFORE(SalesRaw[[#This Row],[CustomerName]]," ")</f>
        <v>Quinn</v>
      </c>
      <c r="O119" t="str">
        <f>_xlfn.TEXTAFTER(SalesRaw[[#This Row],[CustomerName]]," ")</f>
        <v>Hughes</v>
      </c>
      <c r="P119" t="str">
        <f>_xlfn.TEXTAFTER(SalesRaw[[#This Row],[Email]],"@")</f>
        <v>examplemail.com</v>
      </c>
      <c r="Q119" s="7">
        <f>_xlfn.NUMBERVALUE(SUBSTITUTE(SUBSTITUTE(SalesRaw[[#This Row],[UnitPrice]],"£",""),",",""))</f>
        <v>9.99</v>
      </c>
      <c r="R119" s="7">
        <f>_xlfn.NUMBERVALUE(SUBSTITUTE(SUBSTITUTE(SalesRaw[[#This Row],[Revenue]],"£",""),",",""))</f>
        <v>19.98</v>
      </c>
      <c r="S119" s="9">
        <f>IF(ISNUMBER(SalesRaw[[#This Row],[OrderDate]]),SalesRaw[[#This Row],[OrderDate]],DATEVALUE(SalesRaw[[#This Row],[OrderDate]]))</f>
        <v>45977</v>
      </c>
      <c r="T119" t="str">
        <f>PROPER(TRIM(SalesRaw[[#This Row],[PaymentMethod]]))</f>
        <v>Bank Transfer</v>
      </c>
      <c r="U119" t="str">
        <f>TEXT(S119,"mmmm")</f>
        <v>November</v>
      </c>
      <c r="V119" t="str">
        <f>TEXT(S119,"dddd")</f>
        <v>Sunday</v>
      </c>
    </row>
    <row r="120" spans="1:22" ht="15.75" customHeight="1" x14ac:dyDescent="0.35">
      <c r="A120" s="1">
        <v>100010</v>
      </c>
      <c r="B120" s="2">
        <v>45990</v>
      </c>
      <c r="C120" s="1" t="s">
        <v>63</v>
      </c>
      <c r="D120" s="1" t="s">
        <v>64</v>
      </c>
      <c r="E120" s="1" t="s">
        <v>65</v>
      </c>
      <c r="F120" s="1" t="s">
        <v>66</v>
      </c>
      <c r="G120" s="1" t="s">
        <v>37</v>
      </c>
      <c r="H120" s="1" t="s">
        <v>38</v>
      </c>
      <c r="I120" s="1">
        <v>1</v>
      </c>
      <c r="J120" s="1">
        <v>14.99</v>
      </c>
      <c r="K120" s="1">
        <v>14.99</v>
      </c>
      <c r="L120" s="1" t="s">
        <v>31</v>
      </c>
      <c r="M120" t="str">
        <f>PROPER(TRIM(SalesRaw[[#This Row],[City]]))</f>
        <v>Cardiff</v>
      </c>
      <c r="N120" t="str">
        <f>_xlfn.TEXTBEFORE(SalesRaw[[#This Row],[CustomerName]]," ")</f>
        <v>Sara</v>
      </c>
      <c r="O120" t="str">
        <f>_xlfn.TEXTAFTER(SalesRaw[[#This Row],[CustomerName]]," ")</f>
        <v>Brown</v>
      </c>
      <c r="P120" t="str">
        <f>_xlfn.TEXTAFTER(SalesRaw[[#This Row],[Email]],"@")</f>
        <v>examplemail.com</v>
      </c>
      <c r="Q120" s="7">
        <f>_xlfn.NUMBERVALUE(SUBSTITUTE(SUBSTITUTE(SalesRaw[[#This Row],[UnitPrice]],"£",""),",",""))</f>
        <v>14.99</v>
      </c>
      <c r="R120" s="7">
        <f>_xlfn.NUMBERVALUE(SUBSTITUTE(SUBSTITUTE(SalesRaw[[#This Row],[Revenue]],"£",""),",",""))</f>
        <v>14.99</v>
      </c>
      <c r="S120" s="9">
        <f>IF(ISNUMBER(SalesRaw[[#This Row],[OrderDate]]),SalesRaw[[#This Row],[OrderDate]],DATEVALUE(SalesRaw[[#This Row],[OrderDate]]))</f>
        <v>45990</v>
      </c>
      <c r="T120" t="str">
        <f>PROPER(TRIM(SalesRaw[[#This Row],[PaymentMethod]]))</f>
        <v>Paypal</v>
      </c>
      <c r="U120" t="str">
        <f>TEXT(S120,"mmmm")</f>
        <v>November</v>
      </c>
      <c r="V120" t="str">
        <f>TEXT(S120,"dddd")</f>
        <v>Saturday</v>
      </c>
    </row>
    <row r="121" spans="1:22" ht="15.75" customHeight="1" x14ac:dyDescent="0.35">
      <c r="A121" s="1">
        <v>100034</v>
      </c>
      <c r="B121" s="1" t="s">
        <v>132</v>
      </c>
      <c r="C121" s="1" t="s">
        <v>133</v>
      </c>
      <c r="D121" s="1" t="s">
        <v>134</v>
      </c>
      <c r="E121" s="1" t="s">
        <v>96</v>
      </c>
      <c r="F121" s="1" t="s">
        <v>97</v>
      </c>
      <c r="G121" s="1" t="s">
        <v>89</v>
      </c>
      <c r="H121" s="1" t="s">
        <v>38</v>
      </c>
      <c r="I121" s="1">
        <v>1</v>
      </c>
      <c r="J121" s="1">
        <v>14.99</v>
      </c>
      <c r="K121" s="1">
        <v>14.99</v>
      </c>
      <c r="L121" s="1" t="s">
        <v>18</v>
      </c>
      <c r="M121" t="str">
        <f>PROPER(TRIM(SalesRaw[[#This Row],[City]]))</f>
        <v>Bristol</v>
      </c>
      <c r="N121" t="str">
        <f>_xlfn.TEXTBEFORE(SalesRaw[[#This Row],[CustomerName]]," ")</f>
        <v>Tariq</v>
      </c>
      <c r="O121" t="str">
        <f>_xlfn.TEXTAFTER(SalesRaw[[#This Row],[CustomerName]]," ")</f>
        <v>Singh</v>
      </c>
      <c r="P121" t="str">
        <f>_xlfn.TEXTAFTER(SalesRaw[[#This Row],[Email]],"@")</f>
        <v>examplemail.com</v>
      </c>
      <c r="Q121" s="7">
        <f>_xlfn.NUMBERVALUE(SUBSTITUTE(SUBSTITUTE(SalesRaw[[#This Row],[UnitPrice]],"£",""),",",""))</f>
        <v>14.99</v>
      </c>
      <c r="R121" s="7">
        <f>_xlfn.NUMBERVALUE(SUBSTITUTE(SUBSTITUTE(SalesRaw[[#This Row],[Revenue]],"£",""),",",""))</f>
        <v>14.99</v>
      </c>
      <c r="S121" s="9">
        <f>IF(ISNUMBER(SalesRaw[[#This Row],[OrderDate]]),SalesRaw[[#This Row],[OrderDate]],DATEVALUE(SalesRaw[[#This Row],[OrderDate]]))</f>
        <v>45957</v>
      </c>
      <c r="T121" t="str">
        <f>PROPER(TRIM(SalesRaw[[#This Row],[PaymentMethod]]))</f>
        <v>Card</v>
      </c>
      <c r="U121" t="str">
        <f>TEXT(S121,"mmmm")</f>
        <v>October</v>
      </c>
      <c r="V121" t="str">
        <f>TEXT(S121,"dddd")</f>
        <v>Monday</v>
      </c>
    </row>
    <row r="122" spans="1:22" ht="15.75" customHeight="1" x14ac:dyDescent="0.35">
      <c r="A122" s="1">
        <v>100041</v>
      </c>
      <c r="B122" s="2">
        <v>45968</v>
      </c>
      <c r="C122" s="1" t="s">
        <v>151</v>
      </c>
      <c r="D122" s="1" t="s">
        <v>152</v>
      </c>
      <c r="E122" s="1" t="s">
        <v>65</v>
      </c>
      <c r="F122" s="1" t="s">
        <v>66</v>
      </c>
      <c r="G122" s="1" t="s">
        <v>116</v>
      </c>
      <c r="H122" s="1" t="s">
        <v>83</v>
      </c>
      <c r="I122" s="1">
        <v>1</v>
      </c>
      <c r="J122" s="1">
        <v>14.99</v>
      </c>
      <c r="K122" s="1">
        <v>14.99</v>
      </c>
      <c r="L122" s="1" t="s">
        <v>43</v>
      </c>
      <c r="M122" t="str">
        <f>PROPER(TRIM(SalesRaw[[#This Row],[City]]))</f>
        <v>Cardiff</v>
      </c>
      <c r="N122" t="str">
        <f>_xlfn.TEXTBEFORE(SalesRaw[[#This Row],[CustomerName]]," ")</f>
        <v>Chloe</v>
      </c>
      <c r="O122" t="str">
        <f>_xlfn.TEXTAFTER(SalesRaw[[#This Row],[CustomerName]]," ")</f>
        <v>Green</v>
      </c>
      <c r="P122" t="str">
        <f>_xlfn.TEXTAFTER(SalesRaw[[#This Row],[Email]],"@")</f>
        <v>examplemail.com</v>
      </c>
      <c r="Q122" s="7">
        <f>_xlfn.NUMBERVALUE(SUBSTITUTE(SUBSTITUTE(SalesRaw[[#This Row],[UnitPrice]],"£",""),",",""))</f>
        <v>14.99</v>
      </c>
      <c r="R122" s="7">
        <f>_xlfn.NUMBERVALUE(SUBSTITUTE(SUBSTITUTE(SalesRaw[[#This Row],[Revenue]],"£",""),",",""))</f>
        <v>14.99</v>
      </c>
      <c r="S122" s="9">
        <f>IF(ISNUMBER(SalesRaw[[#This Row],[OrderDate]]),SalesRaw[[#This Row],[OrderDate]],DATEVALUE(SalesRaw[[#This Row],[OrderDate]]))</f>
        <v>45968</v>
      </c>
      <c r="T122" t="str">
        <f>PROPER(TRIM(SalesRaw[[#This Row],[PaymentMethod]]))</f>
        <v>Cash</v>
      </c>
      <c r="U122" t="str">
        <f>TEXT(S122,"mmmm")</f>
        <v>November</v>
      </c>
      <c r="V122" t="str">
        <f>TEXT(S122,"dddd")</f>
        <v>Friday</v>
      </c>
    </row>
    <row r="123" spans="1:22" ht="15.75" customHeight="1" x14ac:dyDescent="0.35">
      <c r="A123" s="1">
        <v>100043</v>
      </c>
      <c r="B123" s="2">
        <v>45984</v>
      </c>
      <c r="C123" s="1" t="s">
        <v>156</v>
      </c>
      <c r="D123" s="1" t="s">
        <v>157</v>
      </c>
      <c r="E123" s="1" t="s">
        <v>21</v>
      </c>
      <c r="F123" s="1" t="s">
        <v>22</v>
      </c>
      <c r="G123" s="1" t="s">
        <v>122</v>
      </c>
      <c r="H123" s="1" t="s">
        <v>30</v>
      </c>
      <c r="I123" s="1">
        <v>1</v>
      </c>
      <c r="J123" s="1">
        <v>14.99</v>
      </c>
      <c r="K123" s="1">
        <v>14.99</v>
      </c>
      <c r="L123" s="1" t="s">
        <v>31</v>
      </c>
      <c r="M123" t="str">
        <f>PROPER(TRIM(SalesRaw[[#This Row],[City]]))</f>
        <v>Manchester</v>
      </c>
      <c r="N123" t="str">
        <f>_xlfn.TEXTBEFORE(SalesRaw[[#This Row],[CustomerName]]," ")</f>
        <v>Priya</v>
      </c>
      <c r="O123" t="str">
        <f>_xlfn.TEXTAFTER(SalesRaw[[#This Row],[CustomerName]]," ")</f>
        <v>Davis</v>
      </c>
      <c r="P123" t="str">
        <f>_xlfn.TEXTAFTER(SalesRaw[[#This Row],[Email]],"@")</f>
        <v>examplemail.com</v>
      </c>
      <c r="Q123" s="7">
        <f>_xlfn.NUMBERVALUE(SUBSTITUTE(SUBSTITUTE(SalesRaw[[#This Row],[UnitPrice]],"£",""),",",""))</f>
        <v>14.99</v>
      </c>
      <c r="R123" s="7">
        <f>_xlfn.NUMBERVALUE(SUBSTITUTE(SUBSTITUTE(SalesRaw[[#This Row],[Revenue]],"£",""),",",""))</f>
        <v>14.99</v>
      </c>
      <c r="S123" s="9">
        <f>IF(ISNUMBER(SalesRaw[[#This Row],[OrderDate]]),SalesRaw[[#This Row],[OrderDate]],DATEVALUE(SalesRaw[[#This Row],[OrderDate]]))</f>
        <v>45984</v>
      </c>
      <c r="T123" t="str">
        <f>PROPER(TRIM(SalesRaw[[#This Row],[PaymentMethod]]))</f>
        <v>Paypal</v>
      </c>
      <c r="U123" t="str">
        <f>TEXT(S123,"mmmm")</f>
        <v>November</v>
      </c>
      <c r="V123" t="str">
        <f>TEXT(S123,"dddd")</f>
        <v>Sunday</v>
      </c>
    </row>
    <row r="124" spans="1:22" ht="15.75" customHeight="1" x14ac:dyDescent="0.35">
      <c r="A124" s="1">
        <v>100047</v>
      </c>
      <c r="B124" s="2">
        <v>45917</v>
      </c>
      <c r="C124" s="1" t="s">
        <v>164</v>
      </c>
      <c r="D124" s="1" t="s">
        <v>165</v>
      </c>
      <c r="E124" s="1" t="s">
        <v>96</v>
      </c>
      <c r="F124" s="1" t="s">
        <v>97</v>
      </c>
      <c r="G124" s="1" t="s">
        <v>89</v>
      </c>
      <c r="H124" s="1" t="s">
        <v>38</v>
      </c>
      <c r="I124" s="1">
        <v>1</v>
      </c>
      <c r="J124" s="1">
        <v>14.99</v>
      </c>
      <c r="K124" s="1">
        <v>14.99</v>
      </c>
      <c r="L124" s="1" t="s">
        <v>18</v>
      </c>
      <c r="M124" t="str">
        <f>PROPER(TRIM(SalesRaw[[#This Row],[City]]))</f>
        <v>Bristol</v>
      </c>
      <c r="N124" t="str">
        <f>_xlfn.TEXTBEFORE(SalesRaw[[#This Row],[CustomerName]]," ")</f>
        <v>Grace</v>
      </c>
      <c r="O124" t="str">
        <f>_xlfn.TEXTAFTER(SalesRaw[[#This Row],[CustomerName]]," ")</f>
        <v>Quinn</v>
      </c>
      <c r="P124" t="str">
        <f>_xlfn.TEXTAFTER(SalesRaw[[#This Row],[Email]],"@")</f>
        <v>examplemail.com</v>
      </c>
      <c r="Q124" s="7">
        <f>_xlfn.NUMBERVALUE(SUBSTITUTE(SUBSTITUTE(SalesRaw[[#This Row],[UnitPrice]],"£",""),",",""))</f>
        <v>14.99</v>
      </c>
      <c r="R124" s="7">
        <f>_xlfn.NUMBERVALUE(SUBSTITUTE(SUBSTITUTE(SalesRaw[[#This Row],[Revenue]],"£",""),",",""))</f>
        <v>14.99</v>
      </c>
      <c r="S124" s="9">
        <f>IF(ISNUMBER(SalesRaw[[#This Row],[OrderDate]]),SalesRaw[[#This Row],[OrderDate]],DATEVALUE(SalesRaw[[#This Row],[OrderDate]]))</f>
        <v>45917</v>
      </c>
      <c r="T124" t="str">
        <f>PROPER(TRIM(SalesRaw[[#This Row],[PaymentMethod]]))</f>
        <v>Card</v>
      </c>
      <c r="U124" t="str">
        <f>TEXT(S124,"mmmm")</f>
        <v>September</v>
      </c>
      <c r="V124" t="str">
        <f>TEXT(S124,"dddd")</f>
        <v>Wednesday</v>
      </c>
    </row>
    <row r="125" spans="1:22" ht="15.75" customHeight="1" x14ac:dyDescent="0.35">
      <c r="A125" s="1">
        <v>100076</v>
      </c>
      <c r="B125" s="2">
        <v>45968</v>
      </c>
      <c r="C125" s="1" t="s">
        <v>223</v>
      </c>
      <c r="D125" s="5" t="s">
        <v>358</v>
      </c>
      <c r="E125" s="1" t="s">
        <v>102</v>
      </c>
      <c r="F125" s="1" t="s">
        <v>103</v>
      </c>
      <c r="G125" s="1" t="s">
        <v>29</v>
      </c>
      <c r="H125" s="1" t="s">
        <v>30</v>
      </c>
      <c r="I125" s="1">
        <v>1</v>
      </c>
      <c r="J125" s="1">
        <v>14.99</v>
      </c>
      <c r="K125" s="1">
        <v>14.99</v>
      </c>
      <c r="L125" s="1" t="s">
        <v>18</v>
      </c>
      <c r="M125" t="str">
        <f>PROPER(TRIM(SalesRaw[[#This Row],[City]]))</f>
        <v>Nottingham</v>
      </c>
      <c r="N125" t="str">
        <f>_xlfn.TEXTBEFORE(SalesRaw[[#This Row],[CustomerName]]," ")</f>
        <v>Priya</v>
      </c>
      <c r="O125" t="str">
        <f>_xlfn.TEXTAFTER(SalesRaw[[#This Row],[CustomerName]]," ")</f>
        <v>Taylor</v>
      </c>
      <c r="P125" t="str">
        <f>_xlfn.TEXTAFTER(SalesRaw[[#This Row],[Email]],"@")</f>
        <v>unknoown.com</v>
      </c>
      <c r="Q125" s="7">
        <f>_xlfn.NUMBERVALUE(SUBSTITUTE(SUBSTITUTE(SalesRaw[[#This Row],[UnitPrice]],"£",""),",",""))</f>
        <v>14.99</v>
      </c>
      <c r="R125" s="7">
        <f>_xlfn.NUMBERVALUE(SUBSTITUTE(SUBSTITUTE(SalesRaw[[#This Row],[Revenue]],"£",""),",",""))</f>
        <v>14.99</v>
      </c>
      <c r="S125" s="9">
        <f>IF(ISNUMBER(SalesRaw[[#This Row],[OrderDate]]),SalesRaw[[#This Row],[OrderDate]],DATEVALUE(SalesRaw[[#This Row],[OrderDate]]))</f>
        <v>45968</v>
      </c>
      <c r="T125" t="str">
        <f>PROPER(TRIM(SalesRaw[[#This Row],[PaymentMethod]]))</f>
        <v>Card</v>
      </c>
      <c r="U125" t="str">
        <f>TEXT(S125,"mmmm")</f>
        <v>November</v>
      </c>
      <c r="V125" t="str">
        <f>TEXT(S125,"dddd")</f>
        <v>Friday</v>
      </c>
    </row>
    <row r="126" spans="1:22" ht="15.75" customHeight="1" x14ac:dyDescent="0.35">
      <c r="A126" s="1">
        <v>100079</v>
      </c>
      <c r="B126" s="2">
        <v>45948</v>
      </c>
      <c r="C126" s="1" t="s">
        <v>228</v>
      </c>
      <c r="D126" s="1" t="s">
        <v>229</v>
      </c>
      <c r="E126" s="1" t="s">
        <v>81</v>
      </c>
      <c r="F126" s="1" t="s">
        <v>22</v>
      </c>
      <c r="G126" s="1" t="s">
        <v>42</v>
      </c>
      <c r="H126" s="1" t="s">
        <v>30</v>
      </c>
      <c r="I126" s="1">
        <v>1</v>
      </c>
      <c r="J126" s="1">
        <v>14.99</v>
      </c>
      <c r="K126" s="1">
        <v>14.99</v>
      </c>
      <c r="L126" s="1" t="s">
        <v>18</v>
      </c>
      <c r="M126" t="str">
        <f>PROPER(TRIM(SalesRaw[[#This Row],[City]]))</f>
        <v>Liverpool</v>
      </c>
      <c r="N126" t="str">
        <f>_xlfn.TEXTBEFORE(SalesRaw[[#This Row],[CustomerName]]," ")</f>
        <v>Hassan</v>
      </c>
      <c r="O126" t="str">
        <f>_xlfn.TEXTAFTER(SalesRaw[[#This Row],[CustomerName]]," ")</f>
        <v>Green</v>
      </c>
      <c r="P126" t="str">
        <f>_xlfn.TEXTAFTER(SalesRaw[[#This Row],[Email]],"@")</f>
        <v>examplemail.com</v>
      </c>
      <c r="Q126" s="7">
        <f>_xlfn.NUMBERVALUE(SUBSTITUTE(SUBSTITUTE(SalesRaw[[#This Row],[UnitPrice]],"£",""),",",""))</f>
        <v>14.99</v>
      </c>
      <c r="R126" s="7">
        <f>_xlfn.NUMBERVALUE(SUBSTITUTE(SUBSTITUTE(SalesRaw[[#This Row],[Revenue]],"£",""),",",""))</f>
        <v>14.99</v>
      </c>
      <c r="S126" s="9">
        <f>IF(ISNUMBER(SalesRaw[[#This Row],[OrderDate]]),SalesRaw[[#This Row],[OrderDate]],DATEVALUE(SalesRaw[[#This Row],[OrderDate]]))</f>
        <v>45948</v>
      </c>
      <c r="T126" t="str">
        <f>PROPER(TRIM(SalesRaw[[#This Row],[PaymentMethod]]))</f>
        <v>Card</v>
      </c>
      <c r="U126" t="str">
        <f>TEXT(S126,"mmmm")</f>
        <v>October</v>
      </c>
      <c r="V126" t="str">
        <f>TEXT(S126,"dddd")</f>
        <v>Saturday</v>
      </c>
    </row>
    <row r="127" spans="1:22" ht="15.75" customHeight="1" x14ac:dyDescent="0.35">
      <c r="A127" s="1">
        <v>100084</v>
      </c>
      <c r="B127" s="2">
        <v>45968</v>
      </c>
      <c r="C127" s="1" t="s">
        <v>236</v>
      </c>
      <c r="D127" s="1" t="s">
        <v>237</v>
      </c>
      <c r="E127" s="1" t="s">
        <v>74</v>
      </c>
      <c r="F127" s="1" t="s">
        <v>61</v>
      </c>
      <c r="G127" s="1" t="s">
        <v>89</v>
      </c>
      <c r="H127" s="1" t="s">
        <v>38</v>
      </c>
      <c r="I127" s="1" t="s">
        <v>75</v>
      </c>
      <c r="J127" s="1" t="s">
        <v>150</v>
      </c>
      <c r="K127" s="1">
        <v>14.99</v>
      </c>
      <c r="L127" s="1" t="s">
        <v>31</v>
      </c>
      <c r="M127" t="str">
        <f>PROPER(TRIM(SalesRaw[[#This Row],[City]]))</f>
        <v>Glasgow</v>
      </c>
      <c r="N127" t="str">
        <f>_xlfn.TEXTBEFORE(SalesRaw[[#This Row],[CustomerName]]," ")</f>
        <v>Ravi</v>
      </c>
      <c r="O127" t="str">
        <f>_xlfn.TEXTAFTER(SalesRaw[[#This Row],[CustomerName]]," ")</f>
        <v>Green</v>
      </c>
      <c r="P127" t="str">
        <f>_xlfn.TEXTAFTER(SalesRaw[[#This Row],[Email]],"@")</f>
        <v>examplemail.com</v>
      </c>
      <c r="Q127" s="7">
        <f>_xlfn.NUMBERVALUE(SUBSTITUTE(SUBSTITUTE(SalesRaw[[#This Row],[UnitPrice]],"£",""),",",""))</f>
        <v>14.99</v>
      </c>
      <c r="R127" s="7">
        <f>_xlfn.NUMBERVALUE(SUBSTITUTE(SUBSTITUTE(SalesRaw[[#This Row],[Revenue]],"£",""),",",""))</f>
        <v>14.99</v>
      </c>
      <c r="S127" s="9">
        <f>IF(ISNUMBER(SalesRaw[[#This Row],[OrderDate]]),SalesRaw[[#This Row],[OrderDate]],DATEVALUE(SalesRaw[[#This Row],[OrderDate]]))</f>
        <v>45968</v>
      </c>
      <c r="T127" t="str">
        <f>PROPER(TRIM(SalesRaw[[#This Row],[PaymentMethod]]))</f>
        <v>Paypal</v>
      </c>
      <c r="U127" t="str">
        <f>TEXT(S127,"mmmm")</f>
        <v>November</v>
      </c>
      <c r="V127" t="str">
        <f>TEXT(S127,"dddd")</f>
        <v>Friday</v>
      </c>
    </row>
    <row r="128" spans="1:22" ht="15.75" customHeight="1" x14ac:dyDescent="0.35">
      <c r="A128" s="1">
        <v>100111</v>
      </c>
      <c r="B128" s="2">
        <v>45922</v>
      </c>
      <c r="C128" s="1" t="s">
        <v>204</v>
      </c>
      <c r="D128" s="1" t="s">
        <v>205</v>
      </c>
      <c r="E128" s="1" t="s">
        <v>102</v>
      </c>
      <c r="F128" s="1" t="s">
        <v>103</v>
      </c>
      <c r="G128" s="1" t="s">
        <v>82</v>
      </c>
      <c r="H128" s="1" t="s">
        <v>83</v>
      </c>
      <c r="I128" s="1">
        <v>1</v>
      </c>
      <c r="J128" s="1">
        <v>14.99</v>
      </c>
      <c r="K128" s="1" t="s">
        <v>150</v>
      </c>
      <c r="L128" s="1" t="s">
        <v>43</v>
      </c>
      <c r="M128" t="str">
        <f>PROPER(TRIM(SalesRaw[[#This Row],[City]]))</f>
        <v>Nottingham</v>
      </c>
      <c r="N128" t="str">
        <f>_xlfn.TEXTBEFORE(SalesRaw[[#This Row],[CustomerName]]," ")</f>
        <v>Aisha</v>
      </c>
      <c r="O128" t="str">
        <f>_xlfn.TEXTAFTER(SalesRaw[[#This Row],[CustomerName]]," ")</f>
        <v>Ahmed</v>
      </c>
      <c r="P128" t="str">
        <f>_xlfn.TEXTAFTER(SalesRaw[[#This Row],[Email]],"@")</f>
        <v>examplemail.com</v>
      </c>
      <c r="Q128" s="7">
        <f>_xlfn.NUMBERVALUE(SUBSTITUTE(SUBSTITUTE(SalesRaw[[#This Row],[UnitPrice]],"£",""),",",""))</f>
        <v>14.99</v>
      </c>
      <c r="R128" s="7">
        <f>_xlfn.NUMBERVALUE(SUBSTITUTE(SUBSTITUTE(SalesRaw[[#This Row],[Revenue]],"£",""),",",""))</f>
        <v>14.99</v>
      </c>
      <c r="S128" s="9">
        <f>IF(ISNUMBER(SalesRaw[[#This Row],[OrderDate]]),SalesRaw[[#This Row],[OrderDate]],DATEVALUE(SalesRaw[[#This Row],[OrderDate]]))</f>
        <v>45922</v>
      </c>
      <c r="T128" t="str">
        <f>PROPER(TRIM(SalesRaw[[#This Row],[PaymentMethod]]))</f>
        <v>Cash</v>
      </c>
      <c r="U128" t="str">
        <f>TEXT(S128,"mmmm")</f>
        <v>September</v>
      </c>
      <c r="V128" t="str">
        <f>TEXT(S128,"dddd")</f>
        <v>Monday</v>
      </c>
    </row>
    <row r="129" spans="1:22" ht="15.75" customHeight="1" x14ac:dyDescent="0.35">
      <c r="A129" s="1">
        <v>100113</v>
      </c>
      <c r="B129" s="2">
        <v>45908</v>
      </c>
      <c r="C129" s="1" t="s">
        <v>297</v>
      </c>
      <c r="D129" s="1" t="s">
        <v>298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1</v>
      </c>
      <c r="J129" s="1">
        <v>14.99</v>
      </c>
      <c r="K129" s="1">
        <v>14.99</v>
      </c>
      <c r="L129" s="1" t="s">
        <v>31</v>
      </c>
      <c r="M129" t="str">
        <f>PROPER(TRIM(SalesRaw[[#This Row],[City]]))</f>
        <v>Sheffield</v>
      </c>
      <c r="N129" t="str">
        <f>_xlfn.TEXTBEFORE(SalesRaw[[#This Row],[CustomerName]]," ")</f>
        <v>Victor</v>
      </c>
      <c r="O129" t="str">
        <f>_xlfn.TEXTAFTER(SalesRaw[[#This Row],[CustomerName]]," ")</f>
        <v>Usman</v>
      </c>
      <c r="P129" t="str">
        <f>_xlfn.TEXTAFTER(SalesRaw[[#This Row],[Email]],"@")</f>
        <v>examplemail.com</v>
      </c>
      <c r="Q129" s="7">
        <f>_xlfn.NUMBERVALUE(SUBSTITUTE(SUBSTITUTE(SalesRaw[[#This Row],[UnitPrice]],"£",""),",",""))</f>
        <v>14.99</v>
      </c>
      <c r="R129" s="7">
        <f>_xlfn.NUMBERVALUE(SUBSTITUTE(SUBSTITUTE(SalesRaw[[#This Row],[Revenue]],"£",""),",",""))</f>
        <v>14.99</v>
      </c>
      <c r="S129" s="9">
        <f>IF(ISNUMBER(SalesRaw[[#This Row],[OrderDate]]),SalesRaw[[#This Row],[OrderDate]],DATEVALUE(SalesRaw[[#This Row],[OrderDate]]))</f>
        <v>45908</v>
      </c>
      <c r="T129" t="str">
        <f>PROPER(TRIM(SalesRaw[[#This Row],[PaymentMethod]]))</f>
        <v>Paypal</v>
      </c>
      <c r="U129" t="str">
        <f>TEXT(S129,"mmmm")</f>
        <v>September</v>
      </c>
      <c r="V129" t="str">
        <f>TEXT(S129,"dddd")</f>
        <v>Monday</v>
      </c>
    </row>
    <row r="130" spans="1:22" ht="15.75" customHeight="1" x14ac:dyDescent="0.35">
      <c r="A130" s="1">
        <v>100136</v>
      </c>
      <c r="B130" s="2">
        <v>45974</v>
      </c>
      <c r="C130" s="1" t="s">
        <v>239</v>
      </c>
      <c r="D130" s="1" t="s">
        <v>240</v>
      </c>
      <c r="E130" t="s">
        <v>357</v>
      </c>
      <c r="F130" s="1" t="s">
        <v>61</v>
      </c>
      <c r="G130" s="1" t="s">
        <v>82</v>
      </c>
      <c r="H130" s="1" t="s">
        <v>83</v>
      </c>
      <c r="I130" s="1" t="s">
        <v>75</v>
      </c>
      <c r="J130" s="1">
        <v>14.99</v>
      </c>
      <c r="K130" s="1">
        <v>14.99</v>
      </c>
      <c r="L130" s="1" t="s">
        <v>220</v>
      </c>
      <c r="M130" t="str">
        <f>PROPER(TRIM(SalesRaw[[#This Row],[City]]))</f>
        <v>Unknown</v>
      </c>
      <c r="N130" t="str">
        <f>_xlfn.TEXTBEFORE(SalesRaw[[#This Row],[CustomerName]]," ")</f>
        <v>Daniel</v>
      </c>
      <c r="O130" t="str">
        <f>_xlfn.TEXTAFTER(SalesRaw[[#This Row],[CustomerName]]," ")</f>
        <v>Martin</v>
      </c>
      <c r="P130" t="str">
        <f>_xlfn.TEXTAFTER(SalesRaw[[#This Row],[Email]],"@")</f>
        <v>examplemail.com</v>
      </c>
      <c r="Q130" s="7">
        <f>_xlfn.NUMBERVALUE(SUBSTITUTE(SUBSTITUTE(SalesRaw[[#This Row],[UnitPrice]],"£",""),",",""))</f>
        <v>14.99</v>
      </c>
      <c r="R130" s="7">
        <f>_xlfn.NUMBERVALUE(SUBSTITUTE(SUBSTITUTE(SalesRaw[[#This Row],[Revenue]],"£",""),",",""))</f>
        <v>14.99</v>
      </c>
      <c r="S130" s="9">
        <f>IF(ISNUMBER(SalesRaw[[#This Row],[OrderDate]]),SalesRaw[[#This Row],[OrderDate]],DATEVALUE(SalesRaw[[#This Row],[OrderDate]]))</f>
        <v>45974</v>
      </c>
      <c r="T130" t="str">
        <f>PROPER(TRIM(SalesRaw[[#This Row],[PaymentMethod]]))</f>
        <v>Card</v>
      </c>
      <c r="U130" t="str">
        <f>TEXT(S130,"mmmm")</f>
        <v>November</v>
      </c>
      <c r="V130" t="str">
        <f>TEXT(S130,"dddd")</f>
        <v>Thursday</v>
      </c>
    </row>
    <row r="131" spans="1:22" ht="15.75" customHeight="1" x14ac:dyDescent="0.35">
      <c r="A131" s="1">
        <v>100009</v>
      </c>
      <c r="B131" s="2">
        <v>45973</v>
      </c>
      <c r="C131" s="1" t="s">
        <v>58</v>
      </c>
      <c r="D131" s="1" t="s">
        <v>59</v>
      </c>
      <c r="E131" s="1" t="s">
        <v>60</v>
      </c>
      <c r="F131" s="1" t="s">
        <v>61</v>
      </c>
      <c r="G131" s="1" t="s">
        <v>62</v>
      </c>
      <c r="H131" s="1" t="s">
        <v>30</v>
      </c>
      <c r="I131" s="1">
        <v>1</v>
      </c>
      <c r="J131" s="1">
        <v>9.99</v>
      </c>
      <c r="K131" s="1">
        <v>9.99</v>
      </c>
      <c r="L131" s="1" t="s">
        <v>18</v>
      </c>
      <c r="M131" t="str">
        <f>PROPER(TRIM(SalesRaw[[#This Row],[City]]))</f>
        <v>Edinburgh</v>
      </c>
      <c r="N131" t="str">
        <f>_xlfn.TEXTBEFORE(SalesRaw[[#This Row],[CustomerName]]," ")</f>
        <v>Liam</v>
      </c>
      <c r="O131" t="str">
        <f>_xlfn.TEXTAFTER(SalesRaw[[#This Row],[CustomerName]]," ")</f>
        <v>Davis</v>
      </c>
      <c r="P131" t="str">
        <f>_xlfn.TEXTAFTER(SalesRaw[[#This Row],[Email]],"@")</f>
        <v>examplemail.com</v>
      </c>
      <c r="Q131" s="7">
        <f>_xlfn.NUMBERVALUE(SUBSTITUTE(SUBSTITUTE(SalesRaw[[#This Row],[UnitPrice]],"£",""),",",""))</f>
        <v>9.99</v>
      </c>
      <c r="R131" s="7">
        <f>_xlfn.NUMBERVALUE(SUBSTITUTE(SUBSTITUTE(SalesRaw[[#This Row],[Revenue]],"£",""),",",""))</f>
        <v>9.99</v>
      </c>
      <c r="S131" s="9">
        <f>IF(ISNUMBER(SalesRaw[[#This Row],[OrderDate]]),SalesRaw[[#This Row],[OrderDate]],DATEVALUE(SalesRaw[[#This Row],[OrderDate]]))</f>
        <v>45973</v>
      </c>
      <c r="T131" t="str">
        <f>PROPER(TRIM(SalesRaw[[#This Row],[PaymentMethod]]))</f>
        <v>Card</v>
      </c>
      <c r="U131" t="str">
        <f>TEXT(S131,"mmmm")</f>
        <v>November</v>
      </c>
      <c r="V131" t="str">
        <f>TEXT(S131,"dddd")</f>
        <v>Wednesday</v>
      </c>
    </row>
    <row r="132" spans="1:22" ht="15.75" customHeight="1" x14ac:dyDescent="0.35">
      <c r="A132" s="1">
        <v>100017</v>
      </c>
      <c r="B132" s="2">
        <v>45945</v>
      </c>
      <c r="C132" s="1" t="s">
        <v>90</v>
      </c>
      <c r="D132" s="1" t="s">
        <v>91</v>
      </c>
      <c r="E132" s="1" t="s">
        <v>14</v>
      </c>
      <c r="F132" s="1" t="s">
        <v>15</v>
      </c>
      <c r="G132" s="1" t="s">
        <v>42</v>
      </c>
      <c r="H132" s="1" t="s">
        <v>30</v>
      </c>
      <c r="I132" s="1">
        <v>1</v>
      </c>
      <c r="J132" s="1">
        <v>9.99</v>
      </c>
      <c r="K132" s="1">
        <v>9.99</v>
      </c>
      <c r="L132" s="1" t="s">
        <v>18</v>
      </c>
      <c r="M132" t="str">
        <f>PROPER(TRIM(SalesRaw[[#This Row],[City]]))</f>
        <v>Sheffield</v>
      </c>
      <c r="N132" t="str">
        <f>_xlfn.TEXTBEFORE(SalesRaw[[#This Row],[CustomerName]]," ")</f>
        <v>Ethan</v>
      </c>
      <c r="O132" t="str">
        <f>_xlfn.TEXTAFTER(SalesRaw[[#This Row],[CustomerName]]," ")</f>
        <v>Patel</v>
      </c>
      <c r="P132" t="str">
        <f>_xlfn.TEXTAFTER(SalesRaw[[#This Row],[Email]],"@")</f>
        <v>examplemail.com</v>
      </c>
      <c r="Q132" s="7">
        <f>_xlfn.NUMBERVALUE(SUBSTITUTE(SUBSTITUTE(SalesRaw[[#This Row],[UnitPrice]],"£",""),",",""))</f>
        <v>9.99</v>
      </c>
      <c r="R132" s="7">
        <f>_xlfn.NUMBERVALUE(SUBSTITUTE(SUBSTITUTE(SalesRaw[[#This Row],[Revenue]],"£",""),",",""))</f>
        <v>9.99</v>
      </c>
      <c r="S132" s="9">
        <f>IF(ISNUMBER(SalesRaw[[#This Row],[OrderDate]]),SalesRaw[[#This Row],[OrderDate]],DATEVALUE(SalesRaw[[#This Row],[OrderDate]]))</f>
        <v>45945</v>
      </c>
      <c r="T132" t="str">
        <f>PROPER(TRIM(SalesRaw[[#This Row],[PaymentMethod]]))</f>
        <v>Card</v>
      </c>
      <c r="U132" t="str">
        <f>TEXT(S132,"mmmm")</f>
        <v>October</v>
      </c>
      <c r="V132" t="str">
        <f>TEXT(S132,"dddd")</f>
        <v>Wednesday</v>
      </c>
    </row>
    <row r="133" spans="1:22" ht="15.75" customHeight="1" x14ac:dyDescent="0.35">
      <c r="A133" s="1">
        <v>100027</v>
      </c>
      <c r="B133" s="2">
        <v>45957</v>
      </c>
      <c r="C133" s="1" t="s">
        <v>117</v>
      </c>
      <c r="D133" s="1" t="s">
        <v>118</v>
      </c>
      <c r="E133" s="1" t="s">
        <v>57</v>
      </c>
      <c r="F133" s="1" t="s">
        <v>46</v>
      </c>
      <c r="G133" s="1" t="s">
        <v>119</v>
      </c>
      <c r="H133" s="1" t="s">
        <v>30</v>
      </c>
      <c r="I133">
        <v>1</v>
      </c>
      <c r="J133" s="1">
        <v>9.99</v>
      </c>
      <c r="K133" s="1">
        <v>9.99</v>
      </c>
      <c r="L133" s="1" t="s">
        <v>31</v>
      </c>
      <c r="M133" t="str">
        <f>PROPER(TRIM(SalesRaw[[#This Row],[City]]))</f>
        <v>Birmingham</v>
      </c>
      <c r="N133" t="str">
        <f>_xlfn.TEXTBEFORE(SalesRaw[[#This Row],[CustomerName]]," ")</f>
        <v>Priya</v>
      </c>
      <c r="O133" t="str">
        <f>_xlfn.TEXTAFTER(SalesRaw[[#This Row],[CustomerName]]," ")</f>
        <v>Chen</v>
      </c>
      <c r="P133" t="str">
        <f>_xlfn.TEXTAFTER(SalesRaw[[#This Row],[Email]],"@")</f>
        <v>examplemail.com</v>
      </c>
      <c r="Q133" s="7">
        <f>_xlfn.NUMBERVALUE(SUBSTITUTE(SUBSTITUTE(SalesRaw[[#This Row],[UnitPrice]],"£",""),",",""))</f>
        <v>9.99</v>
      </c>
      <c r="R133" s="7">
        <f>_xlfn.NUMBERVALUE(SUBSTITUTE(SUBSTITUTE(SalesRaw[[#This Row],[Revenue]],"£",""),",",""))</f>
        <v>9.99</v>
      </c>
      <c r="S133" s="9">
        <f>IF(ISNUMBER(SalesRaw[[#This Row],[OrderDate]]),SalesRaw[[#This Row],[OrderDate]],DATEVALUE(SalesRaw[[#This Row],[OrderDate]]))</f>
        <v>45957</v>
      </c>
      <c r="T133" t="str">
        <f>PROPER(TRIM(SalesRaw[[#This Row],[PaymentMethod]]))</f>
        <v>Paypal</v>
      </c>
      <c r="U133" t="str">
        <f>TEXT(S133,"mmmm")</f>
        <v>October</v>
      </c>
      <c r="V133" t="str">
        <f>TEXT(S133,"dddd")</f>
        <v>Monday</v>
      </c>
    </row>
    <row r="134" spans="1:22" ht="15.75" customHeight="1" x14ac:dyDescent="0.35">
      <c r="A134" s="1">
        <v>100032</v>
      </c>
      <c r="B134" s="2">
        <v>45965</v>
      </c>
      <c r="C134" s="1" t="s">
        <v>128</v>
      </c>
      <c r="D134" s="1" t="s">
        <v>129</v>
      </c>
      <c r="E134" s="1" t="s">
        <v>65</v>
      </c>
      <c r="F134" s="1" t="s">
        <v>66</v>
      </c>
      <c r="G134" s="1" t="s">
        <v>89</v>
      </c>
      <c r="H134" s="1" t="s">
        <v>38</v>
      </c>
      <c r="I134" s="1">
        <v>1</v>
      </c>
      <c r="J134" s="1">
        <v>9.99</v>
      </c>
      <c r="K134" s="1">
        <v>9.99</v>
      </c>
      <c r="L134" s="1" t="s">
        <v>54</v>
      </c>
      <c r="M134" t="str">
        <f>PROPER(TRIM(SalesRaw[[#This Row],[City]]))</f>
        <v>Cardiff</v>
      </c>
      <c r="N134" t="str">
        <f>_xlfn.TEXTBEFORE(SalesRaw[[#This Row],[CustomerName]]," ")</f>
        <v>Aisha</v>
      </c>
      <c r="O134" t="str">
        <f>_xlfn.TEXTAFTER(SalesRaw[[#This Row],[CustomerName]]," ")</f>
        <v>Patel</v>
      </c>
      <c r="P134" t="str">
        <f>_xlfn.TEXTAFTER(SalesRaw[[#This Row],[Email]],"@")</f>
        <v>examplemail.com</v>
      </c>
      <c r="Q134" s="7">
        <f>_xlfn.NUMBERVALUE(SUBSTITUTE(SUBSTITUTE(SalesRaw[[#This Row],[UnitPrice]],"£",""),",",""))</f>
        <v>9.99</v>
      </c>
      <c r="R134" s="7">
        <f>_xlfn.NUMBERVALUE(SUBSTITUTE(SUBSTITUTE(SalesRaw[[#This Row],[Revenue]],"£",""),",",""))</f>
        <v>9.99</v>
      </c>
      <c r="S134" s="9">
        <f>IF(ISNUMBER(SalesRaw[[#This Row],[OrderDate]]),SalesRaw[[#This Row],[OrderDate]],DATEVALUE(SalesRaw[[#This Row],[OrderDate]]))</f>
        <v>45965</v>
      </c>
      <c r="T134" t="str">
        <f>PROPER(TRIM(SalesRaw[[#This Row],[PaymentMethod]]))</f>
        <v>Bank Transfer</v>
      </c>
      <c r="U134" t="str">
        <f>TEXT(S134,"mmmm")</f>
        <v>November</v>
      </c>
      <c r="V134" t="str">
        <f>TEXT(S134,"dddd")</f>
        <v>Tuesday</v>
      </c>
    </row>
    <row r="135" spans="1:22" ht="15.75" customHeight="1" x14ac:dyDescent="0.35">
      <c r="A135" s="1">
        <v>100044</v>
      </c>
      <c r="B135" s="2">
        <v>45949</v>
      </c>
      <c r="C135" s="1" t="s">
        <v>158</v>
      </c>
      <c r="D135" s="1" t="s">
        <v>159</v>
      </c>
      <c r="E135" s="1" t="s">
        <v>74</v>
      </c>
      <c r="F135" s="1" t="s">
        <v>61</v>
      </c>
      <c r="G135" s="1" t="s">
        <v>47</v>
      </c>
      <c r="H135" s="1" t="s">
        <v>24</v>
      </c>
      <c r="I135" s="1" t="s">
        <v>75</v>
      </c>
      <c r="J135" s="1">
        <v>9.99</v>
      </c>
      <c r="K135" s="1">
        <v>9.99</v>
      </c>
      <c r="L135" s="1" t="s">
        <v>18</v>
      </c>
      <c r="M135" t="str">
        <f>PROPER(TRIM(SalesRaw[[#This Row],[City]]))</f>
        <v>Glasgow</v>
      </c>
      <c r="N135" t="str">
        <f>_xlfn.TEXTBEFORE(SalesRaw[[#This Row],[CustomerName]]," ")</f>
        <v>Olivia</v>
      </c>
      <c r="O135" t="str">
        <f>_xlfn.TEXTAFTER(SalesRaw[[#This Row],[CustomerName]]," ")</f>
        <v>Patel</v>
      </c>
      <c r="P135" t="str">
        <f>_xlfn.TEXTAFTER(SalesRaw[[#This Row],[Email]],"@")</f>
        <v>examplemail.com</v>
      </c>
      <c r="Q135" s="7">
        <f>_xlfn.NUMBERVALUE(SUBSTITUTE(SUBSTITUTE(SalesRaw[[#This Row],[UnitPrice]],"£",""),",",""))</f>
        <v>9.99</v>
      </c>
      <c r="R135" s="7">
        <f>_xlfn.NUMBERVALUE(SUBSTITUTE(SUBSTITUTE(SalesRaw[[#This Row],[Revenue]],"£",""),",",""))</f>
        <v>9.99</v>
      </c>
      <c r="S135" s="9">
        <f>IF(ISNUMBER(SalesRaw[[#This Row],[OrderDate]]),SalesRaw[[#This Row],[OrderDate]],DATEVALUE(SalesRaw[[#This Row],[OrderDate]]))</f>
        <v>45949</v>
      </c>
      <c r="T135" t="str">
        <f>PROPER(TRIM(SalesRaw[[#This Row],[PaymentMethod]]))</f>
        <v>Card</v>
      </c>
      <c r="U135" t="str">
        <f>TEXT(S135,"mmmm")</f>
        <v>October</v>
      </c>
      <c r="V135" t="str">
        <f>TEXT(S135,"dddd")</f>
        <v>Sunday</v>
      </c>
    </row>
    <row r="136" spans="1:22" ht="15.75" customHeight="1" x14ac:dyDescent="0.35">
      <c r="A136" s="1">
        <v>100056</v>
      </c>
      <c r="B136" s="1" t="s">
        <v>181</v>
      </c>
      <c r="C136" s="1" t="s">
        <v>182</v>
      </c>
      <c r="D136" s="1" t="s">
        <v>183</v>
      </c>
      <c r="E136" s="1" t="s">
        <v>96</v>
      </c>
      <c r="F136" s="1" t="s">
        <v>97</v>
      </c>
      <c r="G136" s="1" t="s">
        <v>23</v>
      </c>
      <c r="H136" s="1" t="s">
        <v>24</v>
      </c>
      <c r="I136" s="1">
        <v>1</v>
      </c>
      <c r="J136" s="1">
        <v>9.99</v>
      </c>
      <c r="K136" s="1">
        <v>9.99</v>
      </c>
      <c r="L136" s="1" t="s">
        <v>18</v>
      </c>
      <c r="M136" t="str">
        <f>PROPER(TRIM(SalesRaw[[#This Row],[City]]))</f>
        <v>Bristol</v>
      </c>
      <c r="N136" t="str">
        <f>_xlfn.TEXTBEFORE(SalesRaw[[#This Row],[CustomerName]]," ")</f>
        <v>Zoe</v>
      </c>
      <c r="O136" t="str">
        <f>_xlfn.TEXTAFTER(SalesRaw[[#This Row],[CustomerName]]," ")</f>
        <v>Xu</v>
      </c>
      <c r="P136" t="str">
        <f>_xlfn.TEXTAFTER(SalesRaw[[#This Row],[Email]],"@")</f>
        <v>examplemail.com</v>
      </c>
      <c r="Q136" s="7">
        <f>_xlfn.NUMBERVALUE(SUBSTITUTE(SUBSTITUTE(SalesRaw[[#This Row],[UnitPrice]],"£",""),",",""))</f>
        <v>9.99</v>
      </c>
      <c r="R136" s="7">
        <f>_xlfn.NUMBERVALUE(SUBSTITUTE(SUBSTITUTE(SalesRaw[[#This Row],[Revenue]],"£",""),",",""))</f>
        <v>9.99</v>
      </c>
      <c r="S136" s="9">
        <f>IF(ISNUMBER(SalesRaw[[#This Row],[OrderDate]]),SalesRaw[[#This Row],[OrderDate]],DATEVALUE(SalesRaw[[#This Row],[OrderDate]]))</f>
        <v>45908</v>
      </c>
      <c r="T136" t="str">
        <f>PROPER(TRIM(SalesRaw[[#This Row],[PaymentMethod]]))</f>
        <v>Card</v>
      </c>
      <c r="U136" t="str">
        <f>TEXT(S136,"mmmm")</f>
        <v>September</v>
      </c>
      <c r="V136" t="str">
        <f>TEXT(S136,"dddd")</f>
        <v>Monday</v>
      </c>
    </row>
    <row r="137" spans="1:22" ht="15.75" customHeight="1" x14ac:dyDescent="0.35">
      <c r="A137" s="1">
        <v>100080</v>
      </c>
      <c r="B137" s="2">
        <v>45917</v>
      </c>
      <c r="C137" s="1" t="s">
        <v>230</v>
      </c>
      <c r="D137" s="1" t="s">
        <v>231</v>
      </c>
      <c r="E137" s="1" t="s">
        <v>60</v>
      </c>
      <c r="F137" s="1" t="s">
        <v>61</v>
      </c>
      <c r="G137" s="1" t="s">
        <v>42</v>
      </c>
      <c r="H137" s="1" t="s">
        <v>30</v>
      </c>
      <c r="I137" s="1">
        <v>1</v>
      </c>
      <c r="J137" s="1">
        <v>9.99</v>
      </c>
      <c r="K137" s="1">
        <v>9.99</v>
      </c>
      <c r="L137" s="1" t="s">
        <v>18</v>
      </c>
      <c r="M137" t="str">
        <f>PROPER(TRIM(SalesRaw[[#This Row],[City]]))</f>
        <v>Edinburgh</v>
      </c>
      <c r="N137" t="str">
        <f>_xlfn.TEXTBEFORE(SalesRaw[[#This Row],[CustomerName]]," ")</f>
        <v>Quinn</v>
      </c>
      <c r="O137" t="str">
        <f>_xlfn.TEXTAFTER(SalesRaw[[#This Row],[CustomerName]]," ")</f>
        <v>Osei</v>
      </c>
      <c r="P137" t="str">
        <f>_xlfn.TEXTAFTER(SalesRaw[[#This Row],[Email]],"@")</f>
        <v>examplemail.com</v>
      </c>
      <c r="Q137" s="7">
        <f>_xlfn.NUMBERVALUE(SUBSTITUTE(SUBSTITUTE(SalesRaw[[#This Row],[UnitPrice]],"£",""),",",""))</f>
        <v>9.99</v>
      </c>
      <c r="R137" s="7">
        <f>_xlfn.NUMBERVALUE(SUBSTITUTE(SUBSTITUTE(SalesRaw[[#This Row],[Revenue]],"£",""),",",""))</f>
        <v>9.99</v>
      </c>
      <c r="S137" s="9">
        <f>IF(ISNUMBER(SalesRaw[[#This Row],[OrderDate]]),SalesRaw[[#This Row],[OrderDate]],DATEVALUE(SalesRaw[[#This Row],[OrderDate]]))</f>
        <v>45917</v>
      </c>
      <c r="T137" t="str">
        <f>PROPER(TRIM(SalesRaw[[#This Row],[PaymentMethod]]))</f>
        <v>Card</v>
      </c>
      <c r="U137" t="str">
        <f>TEXT(S137,"mmmm")</f>
        <v>September</v>
      </c>
      <c r="V137" t="str">
        <f>TEXT(S137,"dddd")</f>
        <v>Wednesday</v>
      </c>
    </row>
    <row r="138" spans="1:22" ht="15.75" customHeight="1" x14ac:dyDescent="0.35">
      <c r="A138" s="1">
        <v>100090</v>
      </c>
      <c r="B138" s="1" t="s">
        <v>252</v>
      </c>
      <c r="C138" s="1" t="s">
        <v>253</v>
      </c>
      <c r="D138" s="1" t="s">
        <v>254</v>
      </c>
      <c r="E138" s="1" t="s">
        <v>57</v>
      </c>
      <c r="F138" s="1" t="s">
        <v>46</v>
      </c>
      <c r="G138" s="1" t="s">
        <v>16</v>
      </c>
      <c r="H138" s="1" t="s">
        <v>17</v>
      </c>
      <c r="I138" s="1">
        <v>1</v>
      </c>
      <c r="J138" s="1">
        <v>9.99</v>
      </c>
      <c r="K138" s="1">
        <v>9.99</v>
      </c>
      <c r="L138" s="1" t="s">
        <v>43</v>
      </c>
      <c r="M138" t="str">
        <f>PROPER(TRIM(SalesRaw[[#This Row],[City]]))</f>
        <v>Birmingham</v>
      </c>
      <c r="N138" t="str">
        <f>_xlfn.TEXTBEFORE(SalesRaw[[#This Row],[CustomerName]]," ")</f>
        <v>Maya</v>
      </c>
      <c r="O138" t="str">
        <f>_xlfn.TEXTAFTER(SalesRaw[[#This Row],[CustomerName]]," ")</f>
        <v>Patel</v>
      </c>
      <c r="P138" t="str">
        <f>_xlfn.TEXTAFTER(SalesRaw[[#This Row],[Email]],"@")</f>
        <v>examplemail.com</v>
      </c>
      <c r="Q138" s="7">
        <f>_xlfn.NUMBERVALUE(SUBSTITUTE(SUBSTITUTE(SalesRaw[[#This Row],[UnitPrice]],"£",""),",",""))</f>
        <v>9.99</v>
      </c>
      <c r="R138" s="7">
        <f>_xlfn.NUMBERVALUE(SUBSTITUTE(SUBSTITUTE(SalesRaw[[#This Row],[Revenue]],"£",""),",",""))</f>
        <v>9.99</v>
      </c>
      <c r="S138" s="9">
        <f>IF(ISNUMBER(SalesRaw[[#This Row],[OrderDate]]),SalesRaw[[#This Row],[OrderDate]],DATEVALUE(SalesRaw[[#This Row],[OrderDate]]))</f>
        <v>45936</v>
      </c>
      <c r="T138" t="str">
        <f>PROPER(TRIM(SalesRaw[[#This Row],[PaymentMethod]]))</f>
        <v>Cash</v>
      </c>
      <c r="U138" t="str">
        <f>TEXT(S138,"mmmm")</f>
        <v>October</v>
      </c>
      <c r="V138" t="str">
        <f>TEXT(S138,"dddd")</f>
        <v>Monday</v>
      </c>
    </row>
    <row r="139" spans="1:22" ht="15.75" customHeight="1" x14ac:dyDescent="0.35">
      <c r="A139" s="1">
        <v>100108</v>
      </c>
      <c r="B139" s="2">
        <v>45955</v>
      </c>
      <c r="C139" s="1" t="s">
        <v>289</v>
      </c>
      <c r="D139" s="1" t="s">
        <v>290</v>
      </c>
      <c r="E139" s="1" t="s">
        <v>81</v>
      </c>
      <c r="F139" s="1" t="s">
        <v>22</v>
      </c>
      <c r="G139" s="1" t="s">
        <v>82</v>
      </c>
      <c r="H139" s="1" t="s">
        <v>83</v>
      </c>
      <c r="I139" s="1">
        <v>1</v>
      </c>
      <c r="J139" s="1">
        <v>9.99</v>
      </c>
      <c r="K139" s="1">
        <v>9.99</v>
      </c>
      <c r="L139" s="1" t="s">
        <v>43</v>
      </c>
      <c r="M139" t="str">
        <f>PROPER(TRIM(SalesRaw[[#This Row],[City]]))</f>
        <v>Liverpool</v>
      </c>
      <c r="N139" t="str">
        <f>_xlfn.TEXTBEFORE(SalesRaw[[#This Row],[CustomerName]]," ")</f>
        <v>Jack</v>
      </c>
      <c r="O139" t="str">
        <f>_xlfn.TEXTAFTER(SalesRaw[[#This Row],[CustomerName]]," ")</f>
        <v>Usman</v>
      </c>
      <c r="P139" t="str">
        <f>_xlfn.TEXTAFTER(SalesRaw[[#This Row],[Email]],"@")</f>
        <v>examplemail.com</v>
      </c>
      <c r="Q139" s="7">
        <f>_xlfn.NUMBERVALUE(SUBSTITUTE(SUBSTITUTE(SalesRaw[[#This Row],[UnitPrice]],"£",""),",",""))</f>
        <v>9.99</v>
      </c>
      <c r="R139" s="7">
        <f>_xlfn.NUMBERVALUE(SUBSTITUTE(SUBSTITUTE(SalesRaw[[#This Row],[Revenue]],"£",""),",",""))</f>
        <v>9.99</v>
      </c>
      <c r="S139" s="9">
        <f>IF(ISNUMBER(SalesRaw[[#This Row],[OrderDate]]),SalesRaw[[#This Row],[OrderDate]],DATEVALUE(SalesRaw[[#This Row],[OrderDate]]))</f>
        <v>45955</v>
      </c>
      <c r="T139" t="str">
        <f>PROPER(TRIM(SalesRaw[[#This Row],[PaymentMethod]]))</f>
        <v>Cash</v>
      </c>
      <c r="U139" t="str">
        <f>TEXT(S139,"mmmm")</f>
        <v>October</v>
      </c>
      <c r="V139" t="str">
        <f>TEXT(S139,"dddd")</f>
        <v>Saturday</v>
      </c>
    </row>
    <row r="140" spans="1:22" ht="15.75" customHeight="1" x14ac:dyDescent="0.35">
      <c r="A140" s="1">
        <v>100117</v>
      </c>
      <c r="B140" s="2">
        <v>45942</v>
      </c>
      <c r="C140" s="1" t="s">
        <v>305</v>
      </c>
      <c r="D140" s="1" t="s">
        <v>306</v>
      </c>
      <c r="E140" s="1" t="s">
        <v>137</v>
      </c>
      <c r="F140" s="1" t="s">
        <v>138</v>
      </c>
      <c r="G140" s="1" t="s">
        <v>62</v>
      </c>
      <c r="H140" s="1" t="s">
        <v>30</v>
      </c>
      <c r="I140" s="1">
        <v>1</v>
      </c>
      <c r="J140" s="1">
        <v>9.99</v>
      </c>
      <c r="K140" s="1">
        <v>9.99</v>
      </c>
      <c r="L140" s="1" t="s">
        <v>54</v>
      </c>
      <c r="M140" t="str">
        <f>PROPER(TRIM(SalesRaw[[#This Row],[City]]))</f>
        <v>Belfast</v>
      </c>
      <c r="N140" t="str">
        <f>_xlfn.TEXTBEFORE(SalesRaw[[#This Row],[CustomerName]]," ")</f>
        <v>Aisha</v>
      </c>
      <c r="O140" t="str">
        <f>_xlfn.TEXTAFTER(SalesRaw[[#This Row],[CustomerName]]," ")</f>
        <v>Chen</v>
      </c>
      <c r="P140" t="str">
        <f>_xlfn.TEXTAFTER(SalesRaw[[#This Row],[Email]],"@")</f>
        <v>examplemail.com</v>
      </c>
      <c r="Q140" s="7">
        <f>_xlfn.NUMBERVALUE(SUBSTITUTE(SUBSTITUTE(SalesRaw[[#This Row],[UnitPrice]],"£",""),",",""))</f>
        <v>9.99</v>
      </c>
      <c r="R140" s="7">
        <f>_xlfn.NUMBERVALUE(SUBSTITUTE(SUBSTITUTE(SalesRaw[[#This Row],[Revenue]],"£",""),",",""))</f>
        <v>9.99</v>
      </c>
      <c r="S140" s="9">
        <f>IF(ISNUMBER(SalesRaw[[#This Row],[OrderDate]]),SalesRaw[[#This Row],[OrderDate]],DATEVALUE(SalesRaw[[#This Row],[OrderDate]]))</f>
        <v>45942</v>
      </c>
      <c r="T140" t="str">
        <f>PROPER(TRIM(SalesRaw[[#This Row],[PaymentMethod]]))</f>
        <v>Bank Transfer</v>
      </c>
      <c r="U140" t="str">
        <f>TEXT(S140,"mmmm")</f>
        <v>October</v>
      </c>
      <c r="V140" t="str">
        <f>TEXT(S140,"dddd")</f>
        <v>Sunday</v>
      </c>
    </row>
    <row r="141" spans="1:22" ht="15.75" customHeight="1" x14ac:dyDescent="0.35">
      <c r="A141" s="1">
        <v>100133</v>
      </c>
      <c r="B141" s="1" t="s">
        <v>337</v>
      </c>
      <c r="C141" s="1" t="s">
        <v>338</v>
      </c>
      <c r="D141" s="1" t="s">
        <v>339</v>
      </c>
      <c r="E141" s="1" t="s">
        <v>336</v>
      </c>
      <c r="F141" s="1" t="s">
        <v>61</v>
      </c>
      <c r="G141" s="1" t="s">
        <v>89</v>
      </c>
      <c r="H141" s="1" t="s">
        <v>38</v>
      </c>
      <c r="I141" s="1">
        <v>1</v>
      </c>
      <c r="J141" s="1">
        <v>9.99</v>
      </c>
      <c r="K141" s="1">
        <v>9.99</v>
      </c>
      <c r="L141" s="1" t="s">
        <v>18</v>
      </c>
      <c r="M141" t="str">
        <f>PROPER(TRIM(SalesRaw[[#This Row],[City]]))</f>
        <v>Edinburgh</v>
      </c>
      <c r="N141" t="str">
        <f>_xlfn.TEXTBEFORE(SalesRaw[[#This Row],[CustomerName]]," ")</f>
        <v>Xavier</v>
      </c>
      <c r="O141" t="str">
        <f>_xlfn.TEXTAFTER(SalesRaw[[#This Row],[CustomerName]]," ")</f>
        <v>Williams</v>
      </c>
      <c r="P141" t="str">
        <f>_xlfn.TEXTAFTER(SalesRaw[[#This Row],[Email]],"@")</f>
        <v>examplemail.com</v>
      </c>
      <c r="Q141" s="7">
        <f>_xlfn.NUMBERVALUE(SUBSTITUTE(SUBSTITUTE(SalesRaw[[#This Row],[UnitPrice]],"£",""),",",""))</f>
        <v>9.99</v>
      </c>
      <c r="R141" s="7">
        <f>_xlfn.NUMBERVALUE(SUBSTITUTE(SUBSTITUTE(SalesRaw[[#This Row],[Revenue]],"£",""),",",""))</f>
        <v>9.99</v>
      </c>
      <c r="S141" s="9">
        <f>IF(ISNUMBER(SalesRaw[[#This Row],[OrderDate]]),SalesRaw[[#This Row],[OrderDate]],DATEVALUE(SalesRaw[[#This Row],[OrderDate]]))</f>
        <v>45955</v>
      </c>
      <c r="T141" t="str">
        <f>PROPER(TRIM(SalesRaw[[#This Row],[PaymentMethod]]))</f>
        <v>Card</v>
      </c>
      <c r="U141" t="str">
        <f>TEXT(S141,"mmmm")</f>
        <v>October</v>
      </c>
      <c r="V141" t="str">
        <f>TEXT(S141,"dddd")</f>
        <v>Saturday</v>
      </c>
    </row>
    <row r="142" spans="1:22" ht="15.75" customHeight="1" x14ac:dyDescent="0.35"/>
    <row r="143" spans="1:22" ht="15.75" customHeight="1" x14ac:dyDescent="0.35"/>
    <row r="144" spans="1:22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2">
    <dataValidation type="list" allowBlank="1" showInputMessage="1" showErrorMessage="1" sqref="T1:T1048576" xr:uid="{40D6AC9E-1904-41D8-9677-74C9293FFD3B}">
      <formula1>"Card,Cash,Bank Transfer,PayPal"</formula1>
    </dataValidation>
    <dataValidation type="list" allowBlank="1" showInputMessage="1" showErrorMessage="1" sqref="I1:I1048576" xr:uid="{03E0220D-CF6F-49ED-BE95-CA50966F8E58}">
      <formula1>"1,2,3,4,5,6,7,8,9,10"</formula1>
    </dataValidation>
  </dataValidations>
  <hyperlinks>
    <hyperlink ref="D28" r:id="rId1" xr:uid="{49E0021A-B1AF-492B-BDF5-3904F687EC05}"/>
    <hyperlink ref="D25" r:id="rId2" xr:uid="{10058F9C-F387-4CB6-94ED-891F6D63676E}"/>
    <hyperlink ref="D91" r:id="rId3" xr:uid="{594C5BFC-3A39-4F62-9C6F-2B7E5786FED5}"/>
    <hyperlink ref="D125" r:id="rId4" xr:uid="{E700DFCE-2A5C-4F61-B17B-4F43E4550AB0}"/>
    <hyperlink ref="D46" r:id="rId5" xr:uid="{7F3EE5AC-1E3C-4DC3-9B67-35C7B1D97C76}"/>
    <hyperlink ref="D105" r:id="rId6" xr:uid="{371FC6A4-064F-45E7-8DF8-6142EB5CAF9E}"/>
  </hyperlinks>
  <pageMargins left="0.75" right="0.75" top="1" bottom="1" header="0" footer="0"/>
  <pageSetup orientation="landscape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Ajanaku (22JohnA)</cp:lastModifiedBy>
  <dcterms:created xsi:type="dcterms:W3CDTF">2026-01-28T15:09:33Z</dcterms:created>
  <dcterms:modified xsi:type="dcterms:W3CDTF">2026-02-19T17:13:45Z</dcterms:modified>
</cp:coreProperties>
</file>